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urazoh\Documents\Visual Studio 2013\Projects\HourlyProductionDisplay1\ReporteProduccion\"/>
    </mc:Choice>
  </mc:AlternateContent>
  <bookViews>
    <workbookView xWindow="0" yWindow="0" windowWidth="21570" windowHeight="8160" tabRatio="261" activeTab="1"/>
  </bookViews>
  <sheets>
    <sheet name="Datos" sheetId="1" r:id="rId1"/>
    <sheet name="Indicador Diario" sheetId="4" r:id="rId2"/>
    <sheet name="Produccion" sheetId="5" r:id="rId3"/>
  </sheets>
  <definedNames>
    <definedName name="Query_from_Reporte" localSheetId="0" hidden="1">Datos!$A$1:$U$6</definedName>
  </definedNames>
  <calcPr calcId="152511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4" l="1"/>
  <c r="P7" i="4"/>
  <c r="O7" i="4"/>
  <c r="N7" i="4"/>
  <c r="M7" i="4"/>
  <c r="L7" i="4"/>
  <c r="J7" i="4"/>
  <c r="I7" i="4"/>
  <c r="H7" i="4"/>
  <c r="G7" i="4"/>
  <c r="F7" i="4"/>
  <c r="E7" i="4"/>
  <c r="D7" i="4"/>
  <c r="C7" i="4"/>
  <c r="Y5" i="4"/>
  <c r="X5" i="4"/>
  <c r="W5" i="4"/>
  <c r="V5" i="4"/>
  <c r="U5" i="4"/>
  <c r="T5" i="4"/>
  <c r="Q6" i="4"/>
  <c r="P6" i="4"/>
  <c r="O6" i="4"/>
  <c r="N6" i="4"/>
  <c r="M6" i="4"/>
  <c r="L6" i="4"/>
  <c r="Q5" i="4"/>
  <c r="P5" i="4"/>
  <c r="O5" i="4"/>
  <c r="N5" i="4"/>
  <c r="M5" i="4"/>
  <c r="L5" i="4"/>
</calcChain>
</file>

<file path=xl/comments1.xml><?xml version="1.0" encoding="utf-8"?>
<comments xmlns="http://schemas.openxmlformats.org/spreadsheetml/2006/main">
  <authors>
    <author>Homero Durazo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Homero Durazo:</t>
        </r>
        <r>
          <rPr>
            <sz val="9"/>
            <color indexed="81"/>
            <rFont val="Tahoma"/>
            <family val="2"/>
          </rPr>
          <t xml:space="preserve">
Día formato:
MM/dd/aaaa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Homero Durazo:</t>
        </r>
        <r>
          <rPr>
            <sz val="9"/>
            <color indexed="81"/>
            <rFont val="Tahoma"/>
            <family val="2"/>
          </rPr>
          <t xml:space="preserve">
Tiempo Programado
(Tiempo Total Menos Paros planeados)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Homero Durazo:</t>
        </r>
        <r>
          <rPr>
            <sz val="9"/>
            <color indexed="81"/>
            <rFont val="Tahoma"/>
            <family val="2"/>
          </rPr>
          <t xml:space="preserve">
Tiempo Operativo:
(Tiempo Planeado Menos Tiempo Muerto)</t>
        </r>
      </text>
    </comment>
  </commentList>
</comments>
</file>

<file path=xl/connections.xml><?xml version="1.0" encoding="utf-8"?>
<connections xmlns="http://schemas.openxmlformats.org/spreadsheetml/2006/main">
  <connection id="1" name="Reporte" type="1" refreshedVersion="5" savePassword="1" background="1" saveData="1">
    <dbPr connection="DSN=Reporte;Description=Reporte Producción;UID=reportes;PWD=martinrea;APP=Microsoft Office 2013;WSID=HOMERO-PC;DATABASE=Reporte" command="SELECT * from dbo.Vw_OEEDetail where ProductionDate='10/13/2018'"/>
    <parameters count="1">
      <parameter name="Parameter1" prompt="Parameter1"/>
    </parameters>
  </connection>
</connections>
</file>

<file path=xl/sharedStrings.xml><?xml version="1.0" encoding="utf-8"?>
<sst xmlns="http://schemas.openxmlformats.org/spreadsheetml/2006/main" count="88" uniqueCount="54">
  <si>
    <t>ID</t>
  </si>
  <si>
    <t>Asset_ID</t>
  </si>
  <si>
    <t>ProductionDate</t>
  </si>
  <si>
    <t>Shift</t>
  </si>
  <si>
    <t>Name</t>
  </si>
  <si>
    <t>ReportID</t>
  </si>
  <si>
    <t>Part</t>
  </si>
  <si>
    <t>JPH</t>
  </si>
  <si>
    <t>TOTAL</t>
  </si>
  <si>
    <t>Start</t>
  </si>
  <si>
    <t>End</t>
  </si>
  <si>
    <t>Hours</t>
  </si>
  <si>
    <t>PPT</t>
  </si>
  <si>
    <t>OT</t>
  </si>
  <si>
    <t>Downtime</t>
  </si>
  <si>
    <t>PlannedDowntime</t>
  </si>
  <si>
    <t>Rejected</t>
  </si>
  <si>
    <t>Availability</t>
  </si>
  <si>
    <t>Performance</t>
  </si>
  <si>
    <t>Quality</t>
  </si>
  <si>
    <t>OEE</t>
  </si>
  <si>
    <t>2</t>
  </si>
  <si>
    <t>REAR SOLDADO</t>
  </si>
  <si>
    <t>WHG9C-5K067-AD</t>
  </si>
  <si>
    <t>1</t>
  </si>
  <si>
    <t>FRONTAL SOLDADO</t>
  </si>
  <si>
    <t>WHG9C-5C145-BF</t>
  </si>
  <si>
    <t>WHG9C-5C145-CE</t>
  </si>
  <si>
    <t>3</t>
  </si>
  <si>
    <t>WHG9C-5K067-BE</t>
  </si>
  <si>
    <t>LINEA</t>
  </si>
  <si>
    <t>PARTE</t>
  </si>
  <si>
    <t>CT</t>
  </si>
  <si>
    <t>RWK</t>
  </si>
  <si>
    <t>SCRAP</t>
  </si>
  <si>
    <t>FTT</t>
  </si>
  <si>
    <t>DÍA:</t>
  </si>
  <si>
    <t>TM</t>
  </si>
  <si>
    <t>OBJ JPH</t>
  </si>
  <si>
    <t>DISP</t>
  </si>
  <si>
    <t>EFF</t>
  </si>
  <si>
    <t>TP</t>
  </si>
  <si>
    <t>TO</t>
  </si>
  <si>
    <t>TOTAL PROD</t>
  </si>
  <si>
    <t>WG3GC-5K067-BF</t>
  </si>
  <si>
    <t>Row Labels</t>
  </si>
  <si>
    <t>Grand Total</t>
  </si>
  <si>
    <t>Sum of TOTAL</t>
  </si>
  <si>
    <t>Turno</t>
  </si>
  <si>
    <t>TOYOTA SOLDADO</t>
  </si>
  <si>
    <t>W65240-04181</t>
  </si>
  <si>
    <t>10/13/2018</t>
  </si>
  <si>
    <t>5000-10-50</t>
  </si>
  <si>
    <t>2018-10-13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</si>
</sst>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22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NumberFormat="1"/>
    <xf numFmtId="9" fontId="0" fillId="0" borderId="0" xfId="1" applyFont="1"/>
    <xf numFmtId="10" fontId="0" fillId="0" borderId="0" xfId="1" applyNumberFormat="1" applyFont="1"/>
    <xf numFmtId="1" fontId="0" fillId="0" borderId="0" xfId="1" applyNumberFormat="1" applyFont="1"/>
    <xf numFmtId="164" fontId="0" fillId="0" borderId="0" xfId="0" applyNumberFormat="1"/>
    <xf numFmtId="10" fontId="2" fillId="2" borderId="1" xfId="1" applyNumberFormat="1" applyFont="1" applyFill="1" applyBorder="1" applyAlignment="1">
      <alignment horizontal="center" vertical="center"/>
    </xf>
    <xf numFmtId="9" fontId="2" fillId="2" borderId="1" xfId="1" applyFont="1" applyFill="1" applyBorder="1" applyAlignment="1">
      <alignment horizontal="center" vertical="center"/>
    </xf>
    <xf numFmtId="9" fontId="2" fillId="3" borderId="1" xfId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10" fontId="2" fillId="4" borderId="1" xfId="1" applyNumberFormat="1" applyFont="1" applyFill="1" applyBorder="1" applyAlignment="1">
      <alignment horizontal="center" vertical="center"/>
    </xf>
    <xf numFmtId="1" fontId="2" fillId="4" borderId="1" xfId="1" applyNumberFormat="1" applyFont="1" applyFill="1" applyBorder="1" applyAlignment="1">
      <alignment horizontal="center" vertical="center"/>
    </xf>
    <xf numFmtId="164" fontId="2" fillId="2" borderId="1" xfId="1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49" fontId="0" fillId="5" borderId="0" xfId="0" applyNumberFormat="1" applyFill="1"/>
    <xf numFmtId="49" fontId="2" fillId="4" borderId="1" xfId="0" applyNumberFormat="1" applyFont="1" applyFill="1" applyBorder="1" applyAlignment="1">
      <alignment horizontal="center" vertical="center"/>
    </xf>
    <xf numFmtId="2" fontId="0" fillId="0" borderId="0" xfId="1" applyNumberFormat="1" applyFont="1"/>
    <xf numFmtId="10" fontId="2" fillId="4" borderId="2" xfId="1" applyNumberFormat="1" applyFont="1" applyFill="1" applyBorder="1" applyAlignment="1">
      <alignment horizontal="center" vertical="center"/>
    </xf>
    <xf numFmtId="10" fontId="0" fillId="0" borderId="0" xfId="0" applyNumberFormat="1"/>
    <xf numFmtId="10" fontId="2" fillId="6" borderId="2" xfId="1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">
    <dxf>
      <numFmt numFmtId="27" formatCode="mm/dd/yyyy\ hh:mm"/>
    </dxf>
    <dxf>
      <numFmt numFmtId="27" formatCode="mm/dd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152400</xdr:rowOff>
        </xdr:from>
        <xdr:to>
          <xdr:col>3</xdr:col>
          <xdr:colOff>0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mero Durazo" refreshedDate="43375.546046296295" createdVersion="5" refreshedVersion="5" minRefreshableVersion="3" recordCount="12">
  <cacheSource type="worksheet">
    <worksheetSource ref="A1:U1048576" sheet="Datos"/>
  </cacheSource>
  <cacheFields count="21">
    <cacheField name="ID" numFmtId="0">
      <sharedItems containsString="0" containsBlank="1" containsNumber="1" containsInteger="1" minValue="195" maxValue="200"/>
    </cacheField>
    <cacheField name="Asset_ID" numFmtId="0">
      <sharedItems containsString="0" containsBlank="1" containsNumber="1" containsInteger="1" minValue="21" maxValue="22"/>
    </cacheField>
    <cacheField name="ProductionDate" numFmtId="0">
      <sharedItems containsBlank="1"/>
    </cacheField>
    <cacheField name="Shift" numFmtId="0">
      <sharedItems containsBlank="1" count="4">
        <s v="1"/>
        <s v="2"/>
        <s v="3"/>
        <m/>
      </sharedItems>
    </cacheField>
    <cacheField name="Name" numFmtId="0">
      <sharedItems containsBlank="1" count="3">
        <s v="REAR SOLDADO"/>
        <s v="FRONTAL SOLDADO"/>
        <m/>
      </sharedItems>
    </cacheField>
    <cacheField name="ReportID" numFmtId="0">
      <sharedItems containsString="0" containsBlank="1" containsNumber="1" containsInteger="1" minValue="195" maxValue="200"/>
    </cacheField>
    <cacheField name="Part" numFmtId="0">
      <sharedItems containsBlank="1" count="6">
        <s v="WHG9C-5K067-AD"/>
        <s v="WHG9C-5C145-CE"/>
        <s v="WHG9C-5K067-BE"/>
        <s v="WHG9C-5C145-BF"/>
        <s v="WG3GC-5K067-BF"/>
        <m/>
      </sharedItems>
    </cacheField>
    <cacheField name="JPH" numFmtId="0">
      <sharedItems containsString="0" containsBlank="1" containsNumber="1" containsInteger="1" minValue="78" maxValue="78"/>
    </cacheField>
    <cacheField name="TOTAL" numFmtId="0">
      <sharedItems containsString="0" containsBlank="1" containsNumber="1" containsInteger="1" minValue="61" maxValue="381"/>
    </cacheField>
    <cacheField name="Start" numFmtId="0">
      <sharedItems containsNonDate="0" containsDate="1" containsString="0" containsBlank="1" minDate="2018-10-01T06:00:00" maxDate="2018-10-02T00:25:18"/>
    </cacheField>
    <cacheField name="End" numFmtId="0">
      <sharedItems containsNonDate="0" containsDate="1" containsString="0" containsBlank="1" minDate="2018-10-01T14:00:00" maxDate="2018-10-02T06:00:00"/>
    </cacheField>
    <cacheField name="Hours" numFmtId="0">
      <sharedItems containsString="0" containsBlank="1" containsNumber="1" minValue="1.21722222222222" maxValue="8"/>
    </cacheField>
    <cacheField name="PPT" numFmtId="0">
      <sharedItems containsString="0" containsBlank="1" containsNumber="1" minValue="0.72833333333333405" maxValue="7.3666666666666698"/>
    </cacheField>
    <cacheField name="OT" numFmtId="0">
      <sharedItems containsString="0" containsBlank="1" containsNumber="1" minValue="0.67833333333333301" maxValue="5.5166666666666702"/>
    </cacheField>
    <cacheField name="Downtime" numFmtId="0">
      <sharedItems containsString="0" containsBlank="1" containsNumber="1" containsInteger="1" minValue="3" maxValue="111"/>
    </cacheField>
    <cacheField name="PlannedDowntime" numFmtId="0">
      <sharedItems containsString="0" containsBlank="1" containsNumber="1" containsInteger="1" minValue="0" maxValue="291"/>
    </cacheField>
    <cacheField name="Rejected" numFmtId="0">
      <sharedItems containsString="0" containsBlank="1" containsNumber="1" containsInteger="1" minValue="0" maxValue="58"/>
    </cacheField>
    <cacheField name="Availability" numFmtId="0">
      <sharedItems containsString="0" containsBlank="1" containsNumber="1" minValue="0.65538768885004395" maxValue="0.93135011441647597"/>
    </cacheField>
    <cacheField name="Performance" numFmtId="0">
      <sharedItems containsString="0" containsBlank="1" containsNumber="1" minValue="0.80198802665763003" maxValue="1.1574135242977599"/>
    </cacheField>
    <cacheField name="Quality" numFmtId="0">
      <sharedItems containsString="0" containsBlank="1" containsNumber="1" minValue="0.84736842105263199" maxValue="1"/>
    </cacheField>
    <cacheField name="OEE" numFmtId="0">
      <sharedItems containsString="0" containsBlank="1" containsNumber="1" minValue="0.54169828174073398" maxValue="1.07375462066538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n v="196"/>
    <n v="21"/>
    <s v="2018-10-01"/>
    <x v="0"/>
    <x v="0"/>
    <n v="196"/>
    <x v="0"/>
    <n v="78"/>
    <n v="357"/>
    <d v="2018-10-01T06:00:00"/>
    <d v="2018-10-01T14:00:00"/>
    <n v="8"/>
    <n v="6.5166666666666702"/>
    <n v="4.75"/>
    <n v="106"/>
    <n v="89"/>
    <n v="24"/>
    <n v="0.72890025575447603"/>
    <n v="0.96356275303643701"/>
    <n v="0.93277310924369805"/>
    <n v="0.655124926224671"/>
  </r>
  <r>
    <n v="195"/>
    <n v="22"/>
    <s v="2018-10-01"/>
    <x v="0"/>
    <x v="1"/>
    <n v="195"/>
    <x v="1"/>
    <n v="78"/>
    <n v="381"/>
    <d v="2018-10-01T06:00:00"/>
    <d v="2018-10-01T14:00:00"/>
    <n v="8"/>
    <n v="7.3666666666666698"/>
    <n v="5.5166666666666702"/>
    <n v="111"/>
    <n v="38"/>
    <n v="58"/>
    <n v="0.74886877828054299"/>
    <n v="0.88542877062514502"/>
    <n v="0.84776902887139105"/>
    <n v="0.56213017751479299"/>
  </r>
  <r>
    <n v="197"/>
    <n v="21"/>
    <s v="2018-10-01"/>
    <x v="1"/>
    <x v="0"/>
    <n v="197"/>
    <x v="0"/>
    <n v="78"/>
    <n v="146"/>
    <d v="2018-10-01T14:00:00"/>
    <d v="2018-10-01T16:26:02"/>
    <n v="2.4338888888888901"/>
    <n v="1.9172222222222199"/>
    <n v="1.6172222222222199"/>
    <n v="18"/>
    <n v="31"/>
    <n v="16"/>
    <n v="0.84352361634308903"/>
    <n v="1.1574135242977599"/>
    <n v="0.89041095890411004"/>
    <n v="0.86931324253839504"/>
  </r>
  <r>
    <n v="197"/>
    <n v="21"/>
    <s v="2018-10-01"/>
    <x v="1"/>
    <x v="0"/>
    <n v="197"/>
    <x v="2"/>
    <n v="78"/>
    <n v="199"/>
    <d v="2018-10-01T16:26:02"/>
    <d v="2018-10-01T21:30:00"/>
    <n v="5.0661111111111099"/>
    <n v="4.4494444444444401"/>
    <n v="2.91611111111111"/>
    <n v="92"/>
    <n v="37"/>
    <n v="11"/>
    <n v="0.65538768885004395"/>
    <n v="0.87489192080542799"/>
    <n v="0.94472361809045202"/>
    <n v="0.54169828174073398"/>
  </r>
  <r>
    <n v="198"/>
    <n v="22"/>
    <s v="2018-10-01"/>
    <x v="1"/>
    <x v="1"/>
    <n v="198"/>
    <x v="1"/>
    <n v="78"/>
    <n v="190"/>
    <d v="2018-10-01T14:00:00"/>
    <d v="2018-10-01T17:01:37"/>
    <n v="3.0269444444444402"/>
    <n v="2.7936111111111099"/>
    <n v="2.39361111111111"/>
    <n v="24"/>
    <n v="14"/>
    <n v="29"/>
    <n v="0.85681614795664696"/>
    <n v="1.0176663304201901"/>
    <n v="0.84736842105263199"/>
    <n v="0.73886539035191701"/>
  </r>
  <r>
    <n v="198"/>
    <n v="22"/>
    <s v="2018-10-01"/>
    <x v="1"/>
    <x v="1"/>
    <n v="198"/>
    <x v="3"/>
    <n v="78"/>
    <n v="260"/>
    <d v="2018-10-01T17:01:37"/>
    <d v="2018-10-01T21:30:00"/>
    <n v="4.4730555555555602"/>
    <n v="3.9730555555555598"/>
    <n v="3.4730555555555598"/>
    <n v="30"/>
    <n v="30"/>
    <n v="4"/>
    <n v="0.87415227574634702"/>
    <n v="0.95976965528273195"/>
    <n v="0.984615384615385"/>
    <n v="0.82607736945987698"/>
  </r>
  <r>
    <n v="199"/>
    <n v="21"/>
    <s v="2018-10-01"/>
    <x v="2"/>
    <x v="0"/>
    <n v="199"/>
    <x v="2"/>
    <n v="78"/>
    <n v="71"/>
    <d v="2018-10-01T21:30:00"/>
    <d v="2018-10-01T22:44:06"/>
    <n v="1.2350000000000001"/>
    <n v="1.2350000000000001"/>
    <n v="1.135"/>
    <n v="6"/>
    <n v="0"/>
    <n v="0"/>
    <n v="0.91902834008097201"/>
    <n v="0.80198802665763003"/>
    <n v="1"/>
    <n v="0.73704972490397602"/>
  </r>
  <r>
    <n v="199"/>
    <n v="21"/>
    <s v="2018-10-01"/>
    <x v="2"/>
    <x v="0"/>
    <n v="199"/>
    <x v="4"/>
    <n v="78"/>
    <n v="89"/>
    <d v="2018-10-01T22:44:06"/>
    <d v="2018-10-02T00:25:18"/>
    <n v="1.6866666666666701"/>
    <n v="1.2533333333333301"/>
    <n v="1.1033333333333299"/>
    <n v="9"/>
    <n v="26"/>
    <n v="0"/>
    <n v="0.88031914893617003"/>
    <n v="1.0341622124099501"/>
    <n v="1"/>
    <n v="0.91039279869067102"/>
  </r>
  <r>
    <n v="199"/>
    <n v="21"/>
    <s v="2018-10-01"/>
    <x v="2"/>
    <x v="0"/>
    <n v="199"/>
    <x v="0"/>
    <n v="78"/>
    <n v="61"/>
    <d v="2018-10-02T00:25:18"/>
    <d v="2018-10-02T06:00:00"/>
    <n v="5.5783333333333296"/>
    <n v="0.72833333333333405"/>
    <n v="0.67833333333333301"/>
    <n v="3"/>
    <n v="291"/>
    <n v="0"/>
    <n v="0.93135011441647597"/>
    <n v="1.1529011529011499"/>
    <n v="1"/>
    <n v="1.0737546206653801"/>
  </r>
  <r>
    <n v="200"/>
    <n v="22"/>
    <s v="2018-10-01"/>
    <x v="2"/>
    <x v="1"/>
    <n v="200"/>
    <x v="3"/>
    <n v="78"/>
    <n v="70"/>
    <d v="2018-10-01T21:30:00"/>
    <d v="2018-10-01T22:43:02"/>
    <n v="1.21722222222222"/>
    <n v="1.21722222222222"/>
    <n v="1.08388888888889"/>
    <n v="8"/>
    <n v="0"/>
    <n v="2"/>
    <n v="0.89046097672295799"/>
    <n v="0.82797776288294"/>
    <n v="0.97142857142857097"/>
    <n v="0.71621669065758498"/>
  </r>
  <r>
    <n v="200"/>
    <n v="22"/>
    <s v="2018-10-01"/>
    <x v="2"/>
    <x v="1"/>
    <n v="200"/>
    <x v="1"/>
    <n v="78"/>
    <n v="171"/>
    <d v="2018-10-01T22:43:02"/>
    <d v="2018-10-02T06:00:00"/>
    <n v="7.2827777777777802"/>
    <n v="2.6327777777777799"/>
    <n v="2.1161111111111102"/>
    <n v="31"/>
    <n v="279"/>
    <n v="3"/>
    <n v="0.80375606668073396"/>
    <n v="1.03600783569279"/>
    <n v="0.98245614035087703"/>
    <n v="0.818088853539371"/>
  </r>
  <r>
    <m/>
    <m/>
    <m/>
    <x v="3"/>
    <x v="2"/>
    <m/>
    <x v="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olHeaderCaption="Turno">
  <location ref="B4:F13" firstHeaderRow="1" firstDataRow="2" firstDataCol="1"/>
  <pivotFields count="21">
    <pivotField showAll="0"/>
    <pivotField showAll="0"/>
    <pivotField showAll="0"/>
    <pivotField axis="axisCol" showAll="0">
      <items count="5">
        <item x="0"/>
        <item x="1"/>
        <item x="2"/>
        <item h="1" x="3"/>
        <item t="default"/>
      </items>
    </pivotField>
    <pivotField axis="axisRow" showAll="0">
      <items count="4">
        <item x="1"/>
        <item x="0"/>
        <item sd="0" x="2"/>
        <item t="default"/>
      </items>
    </pivotField>
    <pivotField showAll="0"/>
    <pivotField axis="axisRow" showAll="0">
      <items count="7">
        <item x="4"/>
        <item x="3"/>
        <item x="1"/>
        <item x="0"/>
        <item x="2"/>
        <item x="5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6"/>
  </rowFields>
  <rowItems count="8">
    <i>
      <x/>
    </i>
    <i r="1">
      <x v="1"/>
    </i>
    <i r="1">
      <x v="2"/>
    </i>
    <i>
      <x v="1"/>
    </i>
    <i r="1">
      <x/>
    </i>
    <i r="1">
      <x v="3"/>
    </i>
    <i r="1">
      <x v="4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um of TOTAL" fld="8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Reporte" connectionId="1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Asset_ID" tableColumnId="2"/>
      <queryTableField id="3" name="ProductionDate" tableColumnId="3"/>
      <queryTableField id="4" name="Shift" tableColumnId="4"/>
      <queryTableField id="5" name="Name" tableColumnId="5"/>
      <queryTableField id="6" name="ReportID" tableColumnId="6"/>
      <queryTableField id="7" name="Part" tableColumnId="7"/>
      <queryTableField id="8" name="JPH" tableColumnId="8"/>
      <queryTableField id="9" name="TOTAL" tableColumnId="9"/>
      <queryTableField id="10" name="Start" tableColumnId="10"/>
      <queryTableField id="11" name="End" tableColumnId="11"/>
      <queryTableField id="12" name="Hours" tableColumnId="12"/>
      <queryTableField id="13" name="PPT" tableColumnId="13"/>
      <queryTableField id="14" name="OT" tableColumnId="14"/>
      <queryTableField id="15" name="Downtime" tableColumnId="15"/>
      <queryTableField id="16" name="PlannedDowntime" tableColumnId="16"/>
      <queryTableField id="17" name="Rejected" tableColumnId="17"/>
      <queryTableField id="18" name="Availability" tableColumnId="18"/>
      <queryTableField id="19" name="Performance" tableColumnId="19"/>
      <queryTableField id="20" name="Quality" tableColumnId="20"/>
      <queryTableField id="21" name="OEE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Reporte" displayName="Table_Query_from_Reporte" ref="A1:U6" tableType="queryTable" totalsRowShown="0">
  <autoFilter ref="A1:U6">
    <filterColumn colId="4">
      <filters>
        <filter val="REAR SOLDADO"/>
      </filters>
    </filterColumn>
  </autoFilter>
  <tableColumns count="21">
    <tableColumn id="1" uniqueName="1" name="ID" queryTableFieldId="1"/>
    <tableColumn id="2" uniqueName="2" name="Asset_ID" queryTableFieldId="2"/>
    <tableColumn id="3" uniqueName="3" name="ProductionDate" queryTableFieldId="3"/>
    <tableColumn id="4" uniqueName="4" name="Shift" queryTableFieldId="4"/>
    <tableColumn id="5" uniqueName="5" name="Name" queryTableFieldId="5"/>
    <tableColumn id="6" uniqueName="6" name="ReportID" queryTableFieldId="6"/>
    <tableColumn id="7" uniqueName="7" name="Part" queryTableFieldId="7"/>
    <tableColumn id="8" uniqueName="8" name="JPH" queryTableFieldId="8"/>
    <tableColumn id="9" uniqueName="9" name="TOTAL" queryTableFieldId="9"/>
    <tableColumn id="10" uniqueName="10" name="Start" queryTableFieldId="10" dataDxfId="1"/>
    <tableColumn id="11" uniqueName="11" name="End" queryTableFieldId="11" dataDxfId="0"/>
    <tableColumn id="12" uniqueName="12" name="Hours" queryTableFieldId="12"/>
    <tableColumn id="13" uniqueName="13" name="PPT" queryTableFieldId="13"/>
    <tableColumn id="14" uniqueName="14" name="OT" queryTableFieldId="14"/>
    <tableColumn id="15" uniqueName="15" name="Downtime" queryTableFieldId="15"/>
    <tableColumn id="16" uniqueName="16" name="PlannedDowntime" queryTableFieldId="16"/>
    <tableColumn id="17" uniqueName="17" name="Rejected" queryTableFieldId="17"/>
    <tableColumn id="18" uniqueName="18" name="Availability" queryTableFieldId="18"/>
    <tableColumn id="19" uniqueName="19" name="Performance" queryTableFieldId="19"/>
    <tableColumn id="20" uniqueName="20" name="Quality" queryTableFieldId="20"/>
    <tableColumn id="21" uniqueName="21" name="OEE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6"/>
  <sheetViews>
    <sheetView workbookViewId="0">
      <selection activeCell="G18" sqref="G18"/>
    </sheetView>
  </sheetViews>
  <sheetFormatPr defaultRowHeight="15" x14ac:dyDescent="0.25"/>
  <cols>
    <col min="1" max="1" width="5.140625" bestFit="1" customWidth="1"/>
    <col min="2" max="2" width="11" bestFit="1" customWidth="1"/>
    <col min="3" max="3" width="17.28515625" bestFit="1" customWidth="1"/>
    <col min="4" max="4" width="7.42578125" bestFit="1" customWidth="1"/>
    <col min="5" max="5" width="17.42578125" customWidth="1"/>
    <col min="6" max="6" width="11.140625" bestFit="1" customWidth="1"/>
    <col min="7" max="7" width="13.7109375" customWidth="1"/>
    <col min="8" max="8" width="6.42578125" bestFit="1" customWidth="1"/>
    <col min="9" max="9" width="8.85546875" bestFit="1" customWidth="1"/>
    <col min="10" max="11" width="15.85546875" bestFit="1" customWidth="1"/>
    <col min="12" max="12" width="12" customWidth="1"/>
    <col min="13" max="14" width="12" bestFit="1" customWidth="1"/>
    <col min="15" max="15" width="12.5703125" bestFit="1" customWidth="1"/>
    <col min="16" max="16" width="20.140625" bestFit="1" customWidth="1"/>
    <col min="17" max="17" width="11.140625" bestFit="1" customWidth="1"/>
    <col min="18" max="18" width="13.28515625" bestFit="1" customWidth="1"/>
    <col min="19" max="19" width="14.7109375" bestFit="1" customWidth="1"/>
    <col min="20" max="20" width="12" customWidth="1"/>
    <col min="21" max="21" width="12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hidden="1" x14ac:dyDescent="0.25">
      <c r="A2">
        <v>334</v>
      </c>
      <c r="B2">
        <v>48</v>
      </c>
      <c r="C2" t="s">
        <v>53</v>
      </c>
      <c r="D2" t="s">
        <v>24</v>
      </c>
      <c r="E2" t="s">
        <v>49</v>
      </c>
      <c r="F2">
        <v>334</v>
      </c>
      <c r="G2" t="s">
        <v>50</v>
      </c>
      <c r="H2">
        <v>63</v>
      </c>
      <c r="I2">
        <v>200</v>
      </c>
      <c r="J2" s="1">
        <v>43386.25</v>
      </c>
      <c r="K2" s="1">
        <v>43386.42695601852</v>
      </c>
      <c r="L2">
        <v>4.2469444444444404</v>
      </c>
      <c r="M2">
        <v>3.3802777777777799</v>
      </c>
      <c r="N2">
        <v>3.1802777777777802</v>
      </c>
      <c r="O2">
        <v>12</v>
      </c>
      <c r="P2">
        <v>52</v>
      </c>
      <c r="Q2">
        <v>0</v>
      </c>
      <c r="R2">
        <v>0.94083326485331598</v>
      </c>
      <c r="S2">
        <v>0.99821568945509898</v>
      </c>
      <c r="T2">
        <v>1</v>
      </c>
      <c r="U2">
        <v>0.939154526137844</v>
      </c>
    </row>
    <row r="3" spans="1:21" hidden="1" x14ac:dyDescent="0.25">
      <c r="A3">
        <v>334</v>
      </c>
      <c r="B3">
        <v>48</v>
      </c>
      <c r="C3" t="s">
        <v>53</v>
      </c>
      <c r="D3" t="s">
        <v>24</v>
      </c>
      <c r="E3" t="s">
        <v>49</v>
      </c>
      <c r="F3">
        <v>334</v>
      </c>
      <c r="G3" t="s">
        <v>52</v>
      </c>
      <c r="H3">
        <v>52</v>
      </c>
      <c r="I3">
        <v>4</v>
      </c>
      <c r="J3" s="1">
        <v>43386.42695601852</v>
      </c>
      <c r="K3" s="1">
        <v>43386.583333333336</v>
      </c>
      <c r="L3">
        <v>3.75305555555556</v>
      </c>
      <c r="M3">
        <v>8.6388888888889098E-2</v>
      </c>
      <c r="N3">
        <v>8.6388888888889098E-2</v>
      </c>
      <c r="O3">
        <v>0</v>
      </c>
      <c r="P3">
        <v>220</v>
      </c>
      <c r="Q3">
        <v>0</v>
      </c>
      <c r="R3">
        <v>1</v>
      </c>
      <c r="S3">
        <v>0.89042790007420003</v>
      </c>
      <c r="T3">
        <v>1</v>
      </c>
      <c r="U3">
        <v>0.89042790007420003</v>
      </c>
    </row>
    <row r="4" spans="1:21" hidden="1" x14ac:dyDescent="0.25">
      <c r="A4">
        <v>335</v>
      </c>
      <c r="B4">
        <v>48</v>
      </c>
      <c r="C4" t="s">
        <v>53</v>
      </c>
      <c r="D4" t="s">
        <v>21</v>
      </c>
      <c r="E4" t="s">
        <v>49</v>
      </c>
      <c r="F4">
        <v>335</v>
      </c>
      <c r="G4" t="s">
        <v>52</v>
      </c>
      <c r="H4">
        <v>52</v>
      </c>
      <c r="I4">
        <v>154</v>
      </c>
      <c r="J4" s="1">
        <v>43386.583333333336</v>
      </c>
      <c r="K4" s="1">
        <v>43386.895833333336</v>
      </c>
      <c r="L4">
        <v>7.5</v>
      </c>
      <c r="M4">
        <v>6.65</v>
      </c>
      <c r="N4">
        <v>3.3833333333333302</v>
      </c>
      <c r="O4">
        <v>196</v>
      </c>
      <c r="P4">
        <v>51</v>
      </c>
      <c r="Q4">
        <v>0</v>
      </c>
      <c r="R4">
        <v>0.50877192982456099</v>
      </c>
      <c r="S4">
        <v>0.87533156498673703</v>
      </c>
      <c r="T4">
        <v>1</v>
      </c>
      <c r="U4">
        <v>0.44534412955465602</v>
      </c>
    </row>
    <row r="5" spans="1:21" hidden="1" x14ac:dyDescent="0.25">
      <c r="A5">
        <v>336</v>
      </c>
      <c r="B5">
        <v>48</v>
      </c>
      <c r="C5" t="s">
        <v>53</v>
      </c>
      <c r="D5" t="s">
        <v>28</v>
      </c>
      <c r="E5" t="s">
        <v>49</v>
      </c>
      <c r="F5">
        <v>336</v>
      </c>
      <c r="G5" t="s">
        <v>52</v>
      </c>
      <c r="H5">
        <v>52</v>
      </c>
      <c r="I5">
        <v>192</v>
      </c>
      <c r="J5" s="1">
        <v>43386.895833333336</v>
      </c>
      <c r="K5" s="1">
        <v>43387.206759259258</v>
      </c>
      <c r="L5">
        <v>7.4622222222222199</v>
      </c>
      <c r="M5">
        <v>6.3622222222222202</v>
      </c>
      <c r="N5">
        <v>3.7622222222222201</v>
      </c>
      <c r="O5">
        <v>156</v>
      </c>
      <c r="P5">
        <v>66</v>
      </c>
      <c r="Q5">
        <v>7</v>
      </c>
      <c r="R5">
        <v>0.59133775759692597</v>
      </c>
      <c r="S5">
        <v>0.98141669317097502</v>
      </c>
      <c r="T5">
        <v>0.96354166666666696</v>
      </c>
      <c r="U5">
        <v>0.55919019855450203</v>
      </c>
    </row>
    <row r="6" spans="1:21" hidden="1" x14ac:dyDescent="0.25">
      <c r="A6">
        <v>336</v>
      </c>
      <c r="B6">
        <v>48</v>
      </c>
      <c r="C6" t="s">
        <v>53</v>
      </c>
      <c r="D6" t="s">
        <v>28</v>
      </c>
      <c r="E6" t="s">
        <v>49</v>
      </c>
      <c r="F6">
        <v>336</v>
      </c>
      <c r="G6" t="s">
        <v>50</v>
      </c>
      <c r="H6">
        <v>63</v>
      </c>
      <c r="I6">
        <v>0</v>
      </c>
      <c r="J6" s="1">
        <v>43387.206759259258</v>
      </c>
      <c r="K6" s="1">
        <v>43387.25</v>
      </c>
      <c r="L6">
        <v>1.0377777777777799</v>
      </c>
      <c r="M6">
        <v>3.7777777777777702E-2</v>
      </c>
      <c r="N6">
        <v>3.7777777777777702E-2</v>
      </c>
      <c r="O6">
        <v>0</v>
      </c>
      <c r="P6">
        <v>60</v>
      </c>
      <c r="Q6">
        <v>0</v>
      </c>
      <c r="R6">
        <v>1</v>
      </c>
      <c r="S6">
        <v>0</v>
      </c>
      <c r="T6">
        <v>0</v>
      </c>
      <c r="U6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-0.249977111117893"/>
  </sheetPr>
  <dimension ref="A2:Y19"/>
  <sheetViews>
    <sheetView tabSelected="1" zoomScale="90" zoomScaleNormal="90" workbookViewId="0">
      <selection activeCell="K26" sqref="K26"/>
    </sheetView>
  </sheetViews>
  <sheetFormatPr defaultRowHeight="15" x14ac:dyDescent="0.25"/>
  <cols>
    <col min="1" max="1" width="19.5703125" customWidth="1"/>
    <col min="2" max="2" width="27" style="18" customWidth="1"/>
    <col min="3" max="3" width="10.5703125" customWidth="1"/>
    <col min="4" max="4" width="10" customWidth="1"/>
    <col min="5" max="5" width="14" customWidth="1"/>
    <col min="9" max="9" width="14.140625" customWidth="1"/>
    <col min="12" max="13" width="9.140625" style="5"/>
    <col min="14" max="14" width="9.140625" style="5" bestFit="1" customWidth="1"/>
    <col min="15" max="15" width="9.140625" style="5"/>
    <col min="16" max="16" width="9.140625" style="6"/>
    <col min="17" max="17" width="7.140625" bestFit="1" customWidth="1"/>
    <col min="18" max="18" width="7.140625" customWidth="1"/>
    <col min="19" max="19" width="21.140625" customWidth="1"/>
    <col min="20" max="22" width="9.140625" style="4"/>
    <col min="23" max="23" width="8.42578125" style="4" bestFit="1" customWidth="1"/>
    <col min="24" max="24" width="9.140625" style="4"/>
    <col min="25" max="25" width="9.140625" style="7"/>
  </cols>
  <sheetData>
    <row r="2" spans="1:25" x14ac:dyDescent="0.25">
      <c r="A2" t="s">
        <v>36</v>
      </c>
      <c r="B2" s="19" t="s">
        <v>51</v>
      </c>
      <c r="P2" s="5"/>
    </row>
    <row r="4" spans="1:25" x14ac:dyDescent="0.25">
      <c r="A4" s="11" t="s">
        <v>30</v>
      </c>
      <c r="B4" s="20" t="s">
        <v>31</v>
      </c>
      <c r="C4" s="12" t="s">
        <v>38</v>
      </c>
      <c r="D4" s="12" t="s">
        <v>32</v>
      </c>
      <c r="E4" s="12" t="s">
        <v>43</v>
      </c>
      <c r="F4" s="12" t="s">
        <v>11</v>
      </c>
      <c r="G4" s="12" t="s">
        <v>41</v>
      </c>
      <c r="H4" s="12" t="s">
        <v>42</v>
      </c>
      <c r="I4" s="12" t="s">
        <v>37</v>
      </c>
      <c r="J4" s="12" t="s">
        <v>33</v>
      </c>
      <c r="K4" s="12" t="s">
        <v>34</v>
      </c>
      <c r="L4" s="13" t="s">
        <v>39</v>
      </c>
      <c r="M4" s="13" t="s">
        <v>40</v>
      </c>
      <c r="N4" s="13" t="s">
        <v>35</v>
      </c>
      <c r="O4" s="13" t="s">
        <v>20</v>
      </c>
      <c r="P4" s="14" t="s">
        <v>7</v>
      </c>
      <c r="Q4" s="22" t="s">
        <v>37</v>
      </c>
      <c r="R4" s="24"/>
      <c r="S4" s="8" t="s">
        <v>22</v>
      </c>
      <c r="T4" s="9" t="s">
        <v>35</v>
      </c>
      <c r="U4" s="10" t="s">
        <v>40</v>
      </c>
      <c r="V4" s="10" t="s">
        <v>39</v>
      </c>
      <c r="W4" s="9" t="s">
        <v>20</v>
      </c>
      <c r="X4" s="9" t="s">
        <v>37</v>
      </c>
      <c r="Y4" s="15" t="s">
        <v>7</v>
      </c>
    </row>
    <row r="5" spans="1:25" x14ac:dyDescent="0.25">
      <c r="A5" t="s">
        <v>49</v>
      </c>
      <c r="B5" s="18" t="s">
        <v>52</v>
      </c>
      <c r="C5">
        <v>52</v>
      </c>
      <c r="D5">
        <v>1.15384615384615</v>
      </c>
      <c r="E5">
        <v>350</v>
      </c>
      <c r="F5">
        <v>18.715277777777779</v>
      </c>
      <c r="G5">
        <v>13.09861111111111</v>
      </c>
      <c r="H5">
        <v>7.231944444444439</v>
      </c>
      <c r="I5">
        <v>352</v>
      </c>
      <c r="J5">
        <v>7</v>
      </c>
      <c r="L5" s="5">
        <f>H5/G5</f>
        <v>0.55211536422436613</v>
      </c>
      <c r="M5" s="5">
        <f>(D5*E5)/(H5*60)</f>
        <v>0.9306997976097241</v>
      </c>
      <c r="N5" s="5">
        <f>(E5- (J5+K5))/E5</f>
        <v>0.98</v>
      </c>
      <c r="O5" s="5">
        <f>L5*M5*N5</f>
        <v>0.50357658458601995</v>
      </c>
      <c r="P5" s="6">
        <f>E5/G5</f>
        <v>26.720390202523596</v>
      </c>
      <c r="Q5" s="23">
        <f xml:space="preserve"> 1 - L5</f>
        <v>0.44788463577563387</v>
      </c>
      <c r="R5" s="23"/>
      <c r="S5" t="s">
        <v>49</v>
      </c>
      <c r="T5" s="4">
        <f>(SUM(E5:E6)-SUM(J5:K6))/SUM(E5:E6)</f>
        <v>0.9872727272727273</v>
      </c>
      <c r="U5" s="4">
        <f>SUMPRODUCT(H5:H6,M5:M6)/SUM(H5:H6)</f>
        <v>0.94788252682989249</v>
      </c>
      <c r="V5" s="4">
        <f>SUM(H5:H6)/SUM(G5:G6)</f>
        <v>0.6326942482341068</v>
      </c>
      <c r="W5" s="4">
        <f>T5*U5*V5</f>
        <v>0.59208702498308763</v>
      </c>
      <c r="X5" s="4">
        <f xml:space="preserve"> 1 - U5</f>
        <v>5.2117473170107509E-2</v>
      </c>
      <c r="Y5" s="7">
        <f>(SUM(E5:E6)/SUM(G5:G6))</f>
        <v>33.299697275479318</v>
      </c>
    </row>
    <row r="6" spans="1:25" x14ac:dyDescent="0.25">
      <c r="A6" t="s">
        <v>49</v>
      </c>
      <c r="B6" s="18" t="s">
        <v>50</v>
      </c>
      <c r="C6">
        <v>63</v>
      </c>
      <c r="D6">
        <v>0.95238095238095</v>
      </c>
      <c r="E6">
        <v>200</v>
      </c>
      <c r="F6">
        <v>5.2847222222222205</v>
      </c>
      <c r="G6">
        <v>3.4180555555555578</v>
      </c>
      <c r="H6">
        <v>3.2180555555555581</v>
      </c>
      <c r="I6">
        <v>12</v>
      </c>
      <c r="J6">
        <v>0</v>
      </c>
      <c r="L6" s="5">
        <f>H6/G6</f>
        <v>0.94148720032507127</v>
      </c>
      <c r="M6" s="5">
        <f>(D6*E6)/(H6*60)</f>
        <v>0.98649731796041351</v>
      </c>
      <c r="N6" s="5">
        <f>(E6- (J6+K6))/E6</f>
        <v>1</v>
      </c>
      <c r="O6" s="5">
        <f>L6*M6*N6</f>
        <v>0.92877459801474138</v>
      </c>
      <c r="P6" s="6">
        <f>E6/G6</f>
        <v>58.51279967492885</v>
      </c>
      <c r="Q6" s="23">
        <f xml:space="preserve"> 1 - L6</f>
        <v>5.8512799674928728E-2</v>
      </c>
      <c r="R6" s="23"/>
    </row>
    <row r="7" spans="1:25" x14ac:dyDescent="0.25">
      <c r="B7" s="18" t="s">
        <v>8</v>
      </c>
      <c r="C7">
        <f>AVERAGE(C5:C6)</f>
        <v>57.5</v>
      </c>
      <c r="D7">
        <f>AVERAGE(D5:D6)</f>
        <v>1.05311355311355</v>
      </c>
      <c r="E7">
        <f>SUM(E5:E6)</f>
        <v>550</v>
      </c>
      <c r="F7">
        <f>SUM(F5:F6)</f>
        <v>24</v>
      </c>
      <c r="G7">
        <f>SUM(G5:G6)</f>
        <v>16.516666666666666</v>
      </c>
      <c r="H7">
        <f>SUM(H5:H6)</f>
        <v>10.449999999999998</v>
      </c>
      <c r="I7">
        <f>SUM(I5:I6)</f>
        <v>364</v>
      </c>
      <c r="J7">
        <f>SUM(J5:J6)</f>
        <v>7</v>
      </c>
      <c r="L7" s="5">
        <f>SUMPRODUCT(G5:G6,L5:L6)/SUM(G5:G6)</f>
        <v>0.6326942482341068</v>
      </c>
      <c r="M7" s="5">
        <f>SUMPRODUCT(H5:H6,M5:M6)/SUM(H5:H6)</f>
        <v>0.94788252682989249</v>
      </c>
      <c r="N7" s="5">
        <f>SUMPRODUCT(E5:E6,N5:N6)/SUM(E5:E6)</f>
        <v>0.9872727272727273</v>
      </c>
      <c r="O7" s="5">
        <f>L7*M7*N7</f>
        <v>0.59208702498308774</v>
      </c>
      <c r="P7" s="6">
        <f>E7/G7</f>
        <v>33.299697275479318</v>
      </c>
      <c r="Q7" s="23">
        <f>1-L7</f>
        <v>0.3673057517658932</v>
      </c>
      <c r="R7" s="23"/>
    </row>
    <row r="19" spans="12:12" x14ac:dyDescent="0.25">
      <c r="L19" s="21"/>
    </row>
  </sheetData>
  <pageMargins left="0.7" right="0.7" top="0.75" bottom="0.75" header="0.3" footer="0.3"/>
  <pageSetup orientation="portrait" horizontalDpi="4294967292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2</xdr:col>
                    <xdr:colOff>19050</xdr:colOff>
                    <xdr:row>0</xdr:row>
                    <xdr:rowOff>152400</xdr:rowOff>
                  </from>
                  <to>
                    <xdr:col>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F13"/>
  <sheetViews>
    <sheetView workbookViewId="0">
      <selection activeCell="F19" sqref="F19"/>
    </sheetView>
  </sheetViews>
  <sheetFormatPr defaultRowHeight="15" x14ac:dyDescent="0.25"/>
  <cols>
    <col min="2" max="2" width="20.7109375" customWidth="1"/>
    <col min="3" max="3" width="8.42578125" customWidth="1"/>
    <col min="4" max="5" width="4" bestFit="1" customWidth="1"/>
    <col min="6" max="6" width="11.28515625" customWidth="1"/>
    <col min="7" max="7" width="11.28515625" bestFit="1" customWidth="1"/>
  </cols>
  <sheetData>
    <row r="4" spans="2:6" x14ac:dyDescent="0.25">
      <c r="B4" s="16" t="s">
        <v>47</v>
      </c>
      <c r="C4" s="16" t="s">
        <v>48</v>
      </c>
    </row>
    <row r="5" spans="2:6" x14ac:dyDescent="0.25">
      <c r="B5" s="16" t="s">
        <v>45</v>
      </c>
      <c r="C5" t="s">
        <v>24</v>
      </c>
      <c r="D5" t="s">
        <v>21</v>
      </c>
      <c r="E5" t="s">
        <v>28</v>
      </c>
      <c r="F5" t="s">
        <v>46</v>
      </c>
    </row>
    <row r="6" spans="2:6" x14ac:dyDescent="0.25">
      <c r="B6" s="17" t="s">
        <v>25</v>
      </c>
      <c r="C6" s="3">
        <v>381</v>
      </c>
      <c r="D6" s="3">
        <v>450</v>
      </c>
      <c r="E6" s="3">
        <v>241</v>
      </c>
      <c r="F6" s="3">
        <v>1072</v>
      </c>
    </row>
    <row r="7" spans="2:6" x14ac:dyDescent="0.25">
      <c r="B7" s="2" t="s">
        <v>26</v>
      </c>
      <c r="C7" s="3"/>
      <c r="D7" s="3">
        <v>260</v>
      </c>
      <c r="E7" s="3">
        <v>70</v>
      </c>
      <c r="F7" s="3">
        <v>330</v>
      </c>
    </row>
    <row r="8" spans="2:6" x14ac:dyDescent="0.25">
      <c r="B8" s="2" t="s">
        <v>27</v>
      </c>
      <c r="C8" s="3">
        <v>381</v>
      </c>
      <c r="D8" s="3">
        <v>190</v>
      </c>
      <c r="E8" s="3">
        <v>171</v>
      </c>
      <c r="F8" s="3">
        <v>742</v>
      </c>
    </row>
    <row r="9" spans="2:6" x14ac:dyDescent="0.25">
      <c r="B9" s="17" t="s">
        <v>22</v>
      </c>
      <c r="C9" s="3">
        <v>357</v>
      </c>
      <c r="D9" s="3">
        <v>345</v>
      </c>
      <c r="E9" s="3">
        <v>221</v>
      </c>
      <c r="F9" s="3">
        <v>923</v>
      </c>
    </row>
    <row r="10" spans="2:6" x14ac:dyDescent="0.25">
      <c r="B10" s="2" t="s">
        <v>44</v>
      </c>
      <c r="C10" s="3"/>
      <c r="D10" s="3"/>
      <c r="E10" s="3">
        <v>89</v>
      </c>
      <c r="F10" s="3">
        <v>89</v>
      </c>
    </row>
    <row r="11" spans="2:6" x14ac:dyDescent="0.25">
      <c r="B11" s="2" t="s">
        <v>23</v>
      </c>
      <c r="C11" s="3">
        <v>357</v>
      </c>
      <c r="D11" s="3">
        <v>146</v>
      </c>
      <c r="E11" s="3">
        <v>61</v>
      </c>
      <c r="F11" s="3">
        <v>564</v>
      </c>
    </row>
    <row r="12" spans="2:6" x14ac:dyDescent="0.25">
      <c r="B12" s="2" t="s">
        <v>29</v>
      </c>
      <c r="C12" s="3"/>
      <c r="D12" s="3">
        <v>199</v>
      </c>
      <c r="E12" s="3">
        <v>71</v>
      </c>
      <c r="F12" s="3">
        <v>270</v>
      </c>
    </row>
    <row r="13" spans="2:6" x14ac:dyDescent="0.25">
      <c r="B13" s="17" t="s">
        <v>46</v>
      </c>
      <c r="C13" s="3">
        <v>738</v>
      </c>
      <c r="D13" s="3">
        <v>795</v>
      </c>
      <c r="E13" s="3">
        <v>462</v>
      </c>
      <c r="F13" s="3">
        <v>1995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Datos</vt:lpstr>
      <vt:lpstr>Indicador Diario</vt:lpstr>
      <vt:lpstr>Produccion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Homero Durazo</dc:creator>
  <cp:lastModifiedBy>Homero Durazo</cp:lastModifiedBy>
  <dcterms:created xsi:type="dcterms:W3CDTF">2018-09-03T18:26:41Z</dcterms:created>
  <dcterms:modified xsi:type="dcterms:W3CDTF">2018-10-15T18:14:51Z</dcterms:modified>
</cp:coreProperties>
</file>