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urazoh\Documents\Visual Studio 2013\Projects\HourlyProductionDisplay1\ReporteProduccion\"/>
    </mc:Choice>
  </mc:AlternateContent>
  <bookViews>
    <workbookView xWindow="0" yWindow="0" windowWidth="21570" windowHeight="8160" tabRatio="430" activeTab="1"/>
  </bookViews>
  <sheets>
    <sheet name="Datos" sheetId="1" r:id="rId1"/>
    <sheet name="Indicador Diario" sheetId="4" r:id="rId2"/>
    <sheet name="Produccion" sheetId="5" r:id="rId3"/>
  </sheets>
  <definedNames>
    <definedName name="Query_from_Reporte" localSheetId="0" hidden="1">Datos!$A$1:$U$32</definedName>
  </definedNames>
  <calcPr calcId="152511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1" i="4" l="1"/>
  <c r="O21" i="4"/>
  <c r="N21" i="4"/>
  <c r="M21" i="4"/>
  <c r="L21" i="4"/>
  <c r="J21" i="4"/>
  <c r="I21" i="4"/>
  <c r="H21" i="4"/>
  <c r="G21" i="4"/>
  <c r="F21" i="4"/>
  <c r="E21" i="4"/>
  <c r="D21" i="4"/>
  <c r="C21" i="4"/>
  <c r="X17" i="4"/>
  <c r="W17" i="4"/>
  <c r="V17" i="4"/>
  <c r="U17" i="4"/>
  <c r="T17" i="4"/>
  <c r="S17" i="4"/>
  <c r="P20" i="4"/>
  <c r="O20" i="4"/>
  <c r="N20" i="4"/>
  <c r="M20" i="4"/>
  <c r="L20" i="4"/>
  <c r="X16" i="4"/>
  <c r="W16" i="4"/>
  <c r="V16" i="4"/>
  <c r="U16" i="4"/>
  <c r="T16" i="4"/>
  <c r="S16" i="4"/>
  <c r="P19" i="4"/>
  <c r="O19" i="4"/>
  <c r="N19" i="4"/>
  <c r="M19" i="4"/>
  <c r="L19" i="4"/>
  <c r="X15" i="4"/>
  <c r="W15" i="4"/>
  <c r="V15" i="4"/>
  <c r="U15" i="4"/>
  <c r="T15" i="4"/>
  <c r="S15" i="4"/>
  <c r="P18" i="4"/>
  <c r="O18" i="4"/>
  <c r="N18" i="4"/>
  <c r="M18" i="4"/>
  <c r="L18" i="4"/>
  <c r="X14" i="4"/>
  <c r="W14" i="4"/>
  <c r="V14" i="4"/>
  <c r="U14" i="4"/>
  <c r="T14" i="4"/>
  <c r="S14" i="4"/>
  <c r="P17" i="4"/>
  <c r="O17" i="4"/>
  <c r="N17" i="4"/>
  <c r="M17" i="4"/>
  <c r="L17" i="4"/>
  <c r="P16" i="4"/>
  <c r="O16" i="4"/>
  <c r="N16" i="4"/>
  <c r="M16" i="4"/>
  <c r="L16" i="4"/>
  <c r="X13" i="4"/>
  <c r="W13" i="4"/>
  <c r="V13" i="4"/>
  <c r="U13" i="4"/>
  <c r="T13" i="4"/>
  <c r="S13" i="4"/>
  <c r="P15" i="4"/>
  <c r="O15" i="4"/>
  <c r="N15" i="4"/>
  <c r="M15" i="4"/>
  <c r="L15" i="4"/>
  <c r="P14" i="4"/>
  <c r="O14" i="4"/>
  <c r="N14" i="4"/>
  <c r="M14" i="4"/>
  <c r="L14" i="4"/>
  <c r="X12" i="4"/>
  <c r="W12" i="4"/>
  <c r="V12" i="4"/>
  <c r="U12" i="4"/>
  <c r="T12" i="4"/>
  <c r="S12" i="4"/>
  <c r="P13" i="4"/>
  <c r="O13" i="4"/>
  <c r="N13" i="4"/>
  <c r="M13" i="4"/>
  <c r="L13" i="4"/>
  <c r="X11" i="4"/>
  <c r="W11" i="4"/>
  <c r="V11" i="4"/>
  <c r="U11" i="4"/>
  <c r="T11" i="4"/>
  <c r="S11" i="4"/>
  <c r="P12" i="4"/>
  <c r="O12" i="4"/>
  <c r="N12" i="4"/>
  <c r="M12" i="4"/>
  <c r="L12" i="4"/>
  <c r="X10" i="4"/>
  <c r="W10" i="4"/>
  <c r="V10" i="4"/>
  <c r="U10" i="4"/>
  <c r="T10" i="4"/>
  <c r="S10" i="4"/>
  <c r="P11" i="4"/>
  <c r="O11" i="4"/>
  <c r="N11" i="4"/>
  <c r="M11" i="4"/>
  <c r="L11" i="4"/>
  <c r="X9" i="4"/>
  <c r="W9" i="4"/>
  <c r="V9" i="4"/>
  <c r="U9" i="4"/>
  <c r="T9" i="4"/>
  <c r="S9" i="4"/>
  <c r="P10" i="4"/>
  <c r="O10" i="4"/>
  <c r="N10" i="4"/>
  <c r="M10" i="4"/>
  <c r="L10" i="4"/>
  <c r="X8" i="4"/>
  <c r="W8" i="4"/>
  <c r="V8" i="4"/>
  <c r="U8" i="4"/>
  <c r="T8" i="4"/>
  <c r="S8" i="4"/>
  <c r="P9" i="4"/>
  <c r="O9" i="4"/>
  <c r="N9" i="4"/>
  <c r="M9" i="4"/>
  <c r="L9" i="4"/>
  <c r="X7" i="4"/>
  <c r="W7" i="4"/>
  <c r="V7" i="4"/>
  <c r="U7" i="4"/>
  <c r="T7" i="4"/>
  <c r="S7" i="4"/>
  <c r="P8" i="4"/>
  <c r="O8" i="4"/>
  <c r="N8" i="4"/>
  <c r="M8" i="4"/>
  <c r="L8" i="4"/>
  <c r="P7" i="4"/>
  <c r="O7" i="4"/>
  <c r="N7" i="4"/>
  <c r="M7" i="4"/>
  <c r="L7" i="4"/>
  <c r="X6" i="4"/>
  <c r="W6" i="4"/>
  <c r="V6" i="4"/>
  <c r="U6" i="4"/>
  <c r="T6" i="4"/>
  <c r="S6" i="4"/>
  <c r="P6" i="4"/>
  <c r="O6" i="4"/>
  <c r="N6" i="4"/>
  <c r="M6" i="4"/>
  <c r="L6" i="4"/>
  <c r="X5" i="4"/>
  <c r="W5" i="4"/>
  <c r="V5" i="4"/>
  <c r="U5" i="4"/>
  <c r="T5" i="4"/>
  <c r="S5" i="4"/>
  <c r="P5" i="4"/>
  <c r="O5" i="4"/>
  <c r="N5" i="4"/>
  <c r="M5" i="4"/>
  <c r="L5" i="4"/>
</calcChain>
</file>

<file path=xl/comments1.xml><?xml version="1.0" encoding="utf-8"?>
<comments xmlns="http://schemas.openxmlformats.org/spreadsheetml/2006/main">
  <authors>
    <author>Homero Durazo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Homero Durazo:</t>
        </r>
        <r>
          <rPr>
            <sz val="9"/>
            <color indexed="81"/>
            <rFont val="Tahoma"/>
            <family val="2"/>
          </rPr>
          <t xml:space="preserve">
Día formato:
MM/dd/aaaa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</rPr>
          <t>Homero Durazo:</t>
        </r>
        <r>
          <rPr>
            <sz val="9"/>
            <color indexed="81"/>
            <rFont val="Tahoma"/>
            <family val="2"/>
          </rPr>
          <t xml:space="preserve">
Tiempo Programado
(Tiempo Total Menos Paros planeados)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</rPr>
          <t>Homero Durazo:</t>
        </r>
        <r>
          <rPr>
            <sz val="9"/>
            <color indexed="81"/>
            <rFont val="Tahoma"/>
            <family val="2"/>
          </rPr>
          <t xml:space="preserve">
Tiempo Operativo:
(Tiempo Planeado Menos Tiempo Muerto)</t>
        </r>
      </text>
    </comment>
  </commentList>
</comments>
</file>

<file path=xl/connections.xml><?xml version="1.0" encoding="utf-8"?>
<connections xmlns="http://schemas.openxmlformats.org/spreadsheetml/2006/main">
  <connection id="1" name="Reporte" type="1" refreshedVersion="5" savePassword="1" background="1" saveData="1">
    <dbPr connection="DSN=Reporte;Description=Reporte Producción;UID=reportes;PWD=martinrea;APP=Microsoft Office 2013;WSID=HOMERO-PC;DATABASE=Reporte" command="SELECT * from dbo.Vw_OEEDetail where ProductionDate='11/07/2018'"/>
    <parameters count="1">
      <parameter name="Parameter1" prompt="Parameter1"/>
    </parameters>
  </connection>
</connections>
</file>

<file path=xl/sharedStrings.xml><?xml version="1.0" encoding="utf-8"?>
<sst xmlns="http://schemas.openxmlformats.org/spreadsheetml/2006/main" count="253" uniqueCount="73">
  <si>
    <t>ID</t>
  </si>
  <si>
    <t>Asset_ID</t>
  </si>
  <si>
    <t>ProductionDate</t>
  </si>
  <si>
    <t>Shift</t>
  </si>
  <si>
    <t>Name</t>
  </si>
  <si>
    <t>ReportID</t>
  </si>
  <si>
    <t>Part</t>
  </si>
  <si>
    <t>JPH</t>
  </si>
  <si>
    <t>TOTAL</t>
  </si>
  <si>
    <t>Start</t>
  </si>
  <si>
    <t>End</t>
  </si>
  <si>
    <t>Hours</t>
  </si>
  <si>
    <t>PPT</t>
  </si>
  <si>
    <t>OT</t>
  </si>
  <si>
    <t>Downtime</t>
  </si>
  <si>
    <t>PlannedDowntime</t>
  </si>
  <si>
    <t>Rejected</t>
  </si>
  <si>
    <t>Availability</t>
  </si>
  <si>
    <t>Performance</t>
  </si>
  <si>
    <t>Quality</t>
  </si>
  <si>
    <t>OEE</t>
  </si>
  <si>
    <t>2</t>
  </si>
  <si>
    <t>REAR SOLDADO</t>
  </si>
  <si>
    <t>WHG9C-5K067-AD</t>
  </si>
  <si>
    <t>1</t>
  </si>
  <si>
    <t>FRONTAL SOLDADO</t>
  </si>
  <si>
    <t>3</t>
  </si>
  <si>
    <t>LINEA</t>
  </si>
  <si>
    <t>PARTE</t>
  </si>
  <si>
    <t>CT</t>
  </si>
  <si>
    <t>RWK</t>
  </si>
  <si>
    <t>SCRAP</t>
  </si>
  <si>
    <t>FTT</t>
  </si>
  <si>
    <t>DÍA:</t>
  </si>
  <si>
    <t>TM</t>
  </si>
  <si>
    <t>OBJ JPH</t>
  </si>
  <si>
    <t>DISP</t>
  </si>
  <si>
    <t>EFF</t>
  </si>
  <si>
    <t>TP</t>
  </si>
  <si>
    <t>TO</t>
  </si>
  <si>
    <t>TOTAL PROD</t>
  </si>
  <si>
    <t>Row Labels</t>
  </si>
  <si>
    <t>Grand Total</t>
  </si>
  <si>
    <t>Sum of TOTAL</t>
  </si>
  <si>
    <t>Turno</t>
  </si>
  <si>
    <t>DAIMLER</t>
  </si>
  <si>
    <t>WA1673521200</t>
  </si>
  <si>
    <t>CAMBER LINK</t>
  </si>
  <si>
    <t>WDG9C-5500-AXB</t>
  </si>
  <si>
    <t>INTEGRAL LINK</t>
  </si>
  <si>
    <t>WDG9C-5A972-BXA</t>
  </si>
  <si>
    <t>TOE LINK</t>
  </si>
  <si>
    <t>WDG9C-5K898-AXE</t>
  </si>
  <si>
    <t>TOYOTA SOLDADO</t>
  </si>
  <si>
    <t>W65240-04181</t>
  </si>
  <si>
    <t>11/07/2018</t>
  </si>
  <si>
    <t>BUSHING CAMBER LINK</t>
  </si>
  <si>
    <t>DG9C-5500-AXB</t>
  </si>
  <si>
    <t>BUSHING DAIMLER</t>
  </si>
  <si>
    <t>A167350250004</t>
  </si>
  <si>
    <t>BUSHING FRONT</t>
  </si>
  <si>
    <t>HG9C-5C145-BG</t>
  </si>
  <si>
    <t>HG9C-5C145-CF</t>
  </si>
  <si>
    <t>BUSHING INTEGRAL LINK</t>
  </si>
  <si>
    <t>DG9C-5A972-AXD</t>
  </si>
  <si>
    <t>BUSHING REAR</t>
  </si>
  <si>
    <t>HG9C-5K067-AD</t>
  </si>
  <si>
    <t>BUSHING TOE LINK</t>
  </si>
  <si>
    <t>DG9C-5K898-AXE</t>
  </si>
  <si>
    <t>WHG9C-5C145-BG</t>
  </si>
  <si>
    <t>WHG9C-5C145-CF</t>
  </si>
  <si>
    <t>WDG9C-5A972-AXD</t>
  </si>
  <si>
    <t>2018-11-07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</si>
</sst>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22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NumberFormat="1"/>
    <xf numFmtId="9" fontId="0" fillId="0" borderId="0" xfId="1" applyFont="1"/>
    <xf numFmtId="10" fontId="0" fillId="0" borderId="0" xfId="1" applyNumberFormat="1" applyFont="1"/>
    <xf numFmtId="1" fontId="0" fillId="0" borderId="0" xfId="1" applyNumberFormat="1" applyFont="1"/>
    <xf numFmtId="164" fontId="0" fillId="0" borderId="0" xfId="0" applyNumberFormat="1"/>
    <xf numFmtId="10" fontId="2" fillId="2" borderId="1" xfId="1" applyNumberFormat="1" applyFont="1" applyFill="1" applyBorder="1" applyAlignment="1">
      <alignment horizontal="center" vertical="center"/>
    </xf>
    <xf numFmtId="9" fontId="2" fillId="2" borderId="1" xfId="1" applyFont="1" applyFill="1" applyBorder="1" applyAlignment="1">
      <alignment horizontal="center" vertical="center"/>
    </xf>
    <xf numFmtId="9" fontId="2" fillId="3" borderId="1" xfId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center" vertical="center"/>
    </xf>
    <xf numFmtId="10" fontId="2" fillId="4" borderId="1" xfId="1" applyNumberFormat="1" applyFont="1" applyFill="1" applyBorder="1" applyAlignment="1">
      <alignment horizontal="center" vertical="center"/>
    </xf>
    <xf numFmtId="1" fontId="2" fillId="4" borderId="1" xfId="1" applyNumberFormat="1" applyFont="1" applyFill="1" applyBorder="1" applyAlignment="1">
      <alignment horizontal="center" vertical="center"/>
    </xf>
    <xf numFmtId="164" fontId="2" fillId="2" borderId="1" xfId="1" applyNumberFormat="1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49" fontId="0" fillId="0" borderId="0" xfId="0" applyNumberFormat="1"/>
    <xf numFmtId="49" fontId="0" fillId="5" borderId="0" xfId="0" applyNumberFormat="1" applyFill="1"/>
    <xf numFmtId="49" fontId="2" fillId="4" borderId="1" xfId="0" applyNumberFormat="1" applyFont="1" applyFill="1" applyBorder="1" applyAlignment="1">
      <alignment horizontal="center" vertical="center"/>
    </xf>
    <xf numFmtId="2" fontId="0" fillId="0" borderId="0" xfId="1" applyNumberFormat="1" applyFont="1"/>
  </cellXfs>
  <cellStyles count="2">
    <cellStyle name="Normal" xfId="0" builtinId="0"/>
    <cellStyle name="Percent" xfId="1" builtinId="5"/>
  </cellStyles>
  <dxfs count="2">
    <dxf>
      <numFmt numFmtId="27" formatCode="mm/dd/yyyy\ hh:mm"/>
    </dxf>
    <dxf>
      <numFmt numFmtId="27" formatCode="mm/dd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152400</xdr:rowOff>
        </xdr:from>
        <xdr:to>
          <xdr:col>3</xdr:col>
          <xdr:colOff>0</xdr:colOff>
          <xdr:row>2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omero Durazo" refreshedDate="43412.479215740743" createdVersion="5" refreshedVersion="5" minRefreshableVersion="3" recordCount="32">
  <cacheSource type="worksheet">
    <worksheetSource ref="A1:U1048576" sheet="Datos"/>
  </cacheSource>
  <cacheFields count="21">
    <cacheField name="ID" numFmtId="0">
      <sharedItems containsString="0" containsBlank="1" containsNumber="1" containsInteger="1" minValue="862" maxValue="919"/>
    </cacheField>
    <cacheField name="Asset_ID" numFmtId="0">
      <sharedItems containsString="0" containsBlank="1" containsNumber="1" containsInteger="1" minValue="18" maxValue="80"/>
    </cacheField>
    <cacheField name="ProductionDate" numFmtId="0">
      <sharedItems containsBlank="1"/>
    </cacheField>
    <cacheField name="Shift" numFmtId="0">
      <sharedItems containsBlank="1" count="4">
        <s v="1"/>
        <s v="2"/>
        <s v="3"/>
        <m/>
      </sharedItems>
    </cacheField>
    <cacheField name="Name" numFmtId="0">
      <sharedItems containsBlank="1" count="14">
        <s v="BUSHING FRONT"/>
        <s v="REAR SOLDADO"/>
        <s v="FRONTAL SOLDADO"/>
        <s v="BUSHING REAR"/>
        <s v="INTEGRAL LINK"/>
        <s v="TOE LINK"/>
        <s v="CAMBER LINK"/>
        <s v="BUSHING INTEGRAL LINK"/>
        <s v="BUSHING TOE LINK"/>
        <s v="BUSHING CAMBER LINK"/>
        <s v="TOYOTA SOLDADO"/>
        <s v="DAIMLER"/>
        <s v="BUSHING DAIMLER"/>
        <m/>
      </sharedItems>
    </cacheField>
    <cacheField name="ReportID" numFmtId="0">
      <sharedItems containsString="0" containsBlank="1" containsNumber="1" containsInteger="1" minValue="862" maxValue="919"/>
    </cacheField>
    <cacheField name="Part" numFmtId="0">
      <sharedItems containsBlank="1" count="21">
        <s v="HG9C-5C145-CF"/>
        <s v="WHG9C-5K067-AD"/>
        <s v="WHG9C-5C145-CF"/>
        <s v="HG9C-5K067-AD"/>
        <s v="WDG9C-5A972-AXD"/>
        <s v="WDG9C-5K898-AXE"/>
        <s v="WDG9C-5500-AXB"/>
        <s v="DG9C-5A972-AXD"/>
        <s v="DG9C-5K898-AXE"/>
        <s v="DG9C-5500-AXB"/>
        <s v="W65240-04181"/>
        <s v="WA1673521200"/>
        <s v="HG9C-5C145-BG"/>
        <s v="WHG9C-5C145-BG"/>
        <s v="WDG9C-5A972-BXA"/>
        <s v="A167350250004"/>
        <m/>
        <s v="WHG9C-5C145-BF" u="1"/>
        <s v="WHG9C-5K067-BE" u="1"/>
        <s v="WG3GC-5K067-BF" u="1"/>
        <s v="WHG9C-5C145-CE" u="1"/>
      </sharedItems>
    </cacheField>
    <cacheField name="JPH" numFmtId="0">
      <sharedItems containsString="0" containsBlank="1" containsNumber="1" containsInteger="1" minValue="63" maxValue="156"/>
    </cacheField>
    <cacheField name="TOTAL" numFmtId="0">
      <sharedItems containsString="0" containsBlank="1" containsNumber="1" containsInteger="1" minValue="34" maxValue="997"/>
    </cacheField>
    <cacheField name="Start" numFmtId="0">
      <sharedItems containsNonDate="0" containsDate="1" containsString="0" containsBlank="1" minDate="2018-11-07T06:00:00" maxDate="2018-11-07T21:30:00"/>
    </cacheField>
    <cacheField name="End" numFmtId="0">
      <sharedItems containsNonDate="0" containsDate="1" containsString="0" containsBlank="1" minDate="2018-11-07T14:00:00" maxDate="2018-11-08T06:00:00"/>
    </cacheField>
    <cacheField name="Hours" numFmtId="0">
      <sharedItems containsString="0" containsBlank="1" containsNumber="1" minValue="1.30083333333333" maxValue="8.5"/>
    </cacheField>
    <cacheField name="PPT" numFmtId="0">
      <sharedItems containsString="0" containsBlank="1" containsNumber="1" minValue="0.80083333333333295" maxValue="7.85666666666667"/>
    </cacheField>
    <cacheField name="OT" numFmtId="0">
      <sharedItems containsString="0" containsBlank="1" containsNumber="1" minValue="0.30083333333333301" maxValue="7.0716666666666699"/>
    </cacheField>
    <cacheField name="Downtime" numFmtId="0">
      <sharedItems containsString="0" containsBlank="1" containsNumber="1" minValue="2.5" maxValue="277"/>
    </cacheField>
    <cacheField name="PlannedDowntime" numFmtId="0">
      <sharedItems containsString="0" containsBlank="1" containsNumber="1" minValue="0" maxValue="326.2"/>
    </cacheField>
    <cacheField name="Rejected" numFmtId="0">
      <sharedItems containsString="0" containsBlank="1" containsNumber="1" containsInteger="1" minValue="0" maxValue="69"/>
    </cacheField>
    <cacheField name="Availability" numFmtId="0">
      <sharedItems containsString="0" containsBlank="1" containsNumber="1" minValue="0.34047619047619099" maxValue="0.98328877005347604"/>
    </cacheField>
    <cacheField name="Performance" numFmtId="0">
      <sharedItems containsString="0" containsBlank="1" containsNumber="1" minValue="0.95327984898536999" maxValue="1.4489665459194501"/>
    </cacheField>
    <cacheField name="Quality" numFmtId="0">
      <sharedItems containsString="0" containsBlank="1" containsNumber="1" minValue="0.91396508728179504" maxValue="1"/>
    </cacheField>
    <cacheField name="OEE" numFmtId="0">
      <sharedItems containsString="0" containsBlank="1" containsNumber="1" minValue="0.33730158730158699" maxValue="0.987029241096825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n v="865"/>
    <n v="18"/>
    <s v="2018-11-07"/>
    <x v="0"/>
    <x v="0"/>
    <n v="865"/>
    <x v="0"/>
    <n v="78"/>
    <n v="466"/>
    <d v="2018-11-07T06:00:00"/>
    <d v="2018-11-07T14:00:00"/>
    <n v="8"/>
    <n v="7.0216666666666701"/>
    <n v="5.9883333333333297"/>
    <n v="62"/>
    <n v="58.7"/>
    <n v="1"/>
    <n v="0.85283645858058399"/>
    <n v="0.99766640262048001"/>
    <n v="0.99785407725321895"/>
    <n v="0.84902043126586202"/>
  </r>
  <r>
    <n v="863"/>
    <n v="21"/>
    <s v="2018-11-07"/>
    <x v="0"/>
    <x v="1"/>
    <n v="863"/>
    <x v="1"/>
    <n v="78"/>
    <n v="505"/>
    <d v="2018-11-07T06:00:00"/>
    <d v="2018-11-07T14:00:00"/>
    <n v="8"/>
    <n v="7.43333333333333"/>
    <n v="6.4744999999999999"/>
    <n v="57.53"/>
    <n v="34"/>
    <n v="18"/>
    <n v="0.87100896860986499"/>
    <n v="0.99997821829623501"/>
    <n v="0.96435643564356399"/>
    <n v="0.83994480855467402"/>
  </r>
  <r>
    <n v="862"/>
    <n v="22"/>
    <s v="2018-11-07"/>
    <x v="0"/>
    <x v="2"/>
    <n v="862"/>
    <x v="2"/>
    <n v="78"/>
    <n v="469"/>
    <d v="2018-11-07T06:00:00"/>
    <d v="2018-11-07T14:00:00"/>
    <n v="8"/>
    <n v="7.3666666666666698"/>
    <n v="6.0128333333333304"/>
    <n v="81.23"/>
    <n v="38"/>
    <n v="24"/>
    <n v="0.81622171945701405"/>
    <n v="0.99999786780838396"/>
    <n v="0.94882729211087402"/>
    <n v="0.77445179255134"/>
  </r>
  <r>
    <n v="866"/>
    <n v="23"/>
    <s v="2018-11-07"/>
    <x v="0"/>
    <x v="3"/>
    <n v="866"/>
    <x v="3"/>
    <n v="78"/>
    <n v="446"/>
    <d v="2018-11-07T06:00:00"/>
    <d v="2018-11-07T14:00:00"/>
    <n v="8"/>
    <n v="6.0465"/>
    <n v="5.7181666666666704"/>
    <n v="19.7"/>
    <n v="117.21"/>
    <n v="0"/>
    <n v="0.94569861352297502"/>
    <n v="0.99996188486089099"/>
    <n v="1"/>
    <n v="0.94566256808876503"/>
  </r>
  <r>
    <n v="871"/>
    <n v="37"/>
    <s v="2018-11-07"/>
    <x v="0"/>
    <x v="4"/>
    <n v="871"/>
    <x v="4"/>
    <n v="141"/>
    <n v="971"/>
    <d v="2018-11-07T06:00:00"/>
    <d v="2018-11-07T14:00:00"/>
    <n v="8"/>
    <n v="7.3109999999999999"/>
    <n v="6.88683333333333"/>
    <n v="25.45"/>
    <n v="41.34"/>
    <n v="10"/>
    <n v="0.94198240094834296"/>
    <n v="0.999955202830769"/>
    <n v="0.98970133882595301"/>
    <n v="0.93223947980843003"/>
  </r>
  <r>
    <n v="877"/>
    <n v="42"/>
    <s v="2018-11-07"/>
    <x v="0"/>
    <x v="5"/>
    <n v="877"/>
    <x v="5"/>
    <n v="156"/>
    <n v="997"/>
    <d v="2018-11-07T06:00:00"/>
    <d v="2018-11-07T14:00:00"/>
    <n v="8"/>
    <n v="7.2608333333333297"/>
    <n v="6.3911666666666704"/>
    <n v="52.18"/>
    <n v="44.35"/>
    <n v="12"/>
    <n v="0.88022495122231104"/>
    <n v="0.99997793428831105"/>
    <n v="0.98796389167502496"/>
    <n v="0.86961127934386295"/>
  </r>
  <r>
    <n v="864"/>
    <n v="43"/>
    <s v="2018-11-07"/>
    <x v="0"/>
    <x v="6"/>
    <n v="864"/>
    <x v="6"/>
    <n v="156"/>
    <n v="861"/>
    <d v="2018-11-07T06:00:00"/>
    <d v="2018-11-07T14:00:00"/>
    <n v="8"/>
    <n v="6.4375"/>
    <n v="5.5191666666666697"/>
    <n v="55.1"/>
    <n v="93.75"/>
    <n v="5"/>
    <n v="0.85734627831715204"/>
    <n v="1.0000116145367499"/>
    <n v="0.99419279907084801"/>
    <n v="0.85237739606671603"/>
  </r>
  <r>
    <n v="867"/>
    <n v="44"/>
    <s v="2018-11-07"/>
    <x v="0"/>
    <x v="7"/>
    <n v="867"/>
    <x v="7"/>
    <n v="156"/>
    <n v="988"/>
    <d v="2018-11-07T06:00:00"/>
    <d v="2018-11-07T14:00:00"/>
    <n v="8"/>
    <n v="7.1283333333333303"/>
    <n v="6.3333333333333304"/>
    <n v="47.7"/>
    <n v="52.3"/>
    <n v="0"/>
    <n v="0.88847322889876101"/>
    <n v="1"/>
    <n v="1"/>
    <n v="0.88847322889876101"/>
  </r>
  <r>
    <n v="868"/>
    <n v="45"/>
    <s v="2018-11-07"/>
    <x v="0"/>
    <x v="8"/>
    <n v="868"/>
    <x v="8"/>
    <n v="156"/>
    <n v="876"/>
    <d v="2018-11-07T06:00:00"/>
    <d v="2018-11-07T14:00:00"/>
    <n v="8"/>
    <n v="7.5"/>
    <n v="5.6151666666666697"/>
    <n v="113.09"/>
    <n v="30"/>
    <n v="0"/>
    <n v="0.74868888888888896"/>
    <n v="1.0000388142918799"/>
    <n v="1"/>
    <n v="0.74871794871794894"/>
  </r>
  <r>
    <n v="869"/>
    <n v="46"/>
    <s v="2018-11-07"/>
    <x v="0"/>
    <x v="9"/>
    <n v="869"/>
    <x v="9"/>
    <n v="156"/>
    <n v="930"/>
    <d v="2018-11-07T06:00:00"/>
    <d v="2018-11-07T14:00:00"/>
    <n v="8"/>
    <n v="7.5"/>
    <n v="5.9613333333333296"/>
    <n v="92.32"/>
    <n v="30"/>
    <n v="0"/>
    <n v="0.79484444444444402"/>
    <n v="1.00003440978614"/>
    <n v="1"/>
    <n v="0.79487179487179505"/>
  </r>
  <r>
    <n v="895"/>
    <n v="48"/>
    <s v="2018-11-07"/>
    <x v="0"/>
    <x v="10"/>
    <n v="895"/>
    <x v="10"/>
    <n v="63"/>
    <n v="396"/>
    <d v="2018-11-07T06:00:00"/>
    <d v="2018-11-07T14:00:00"/>
    <n v="8"/>
    <n v="7.3333333333333304"/>
    <n v="6.2666666666666702"/>
    <n v="64"/>
    <n v="40"/>
    <n v="2"/>
    <n v="0.85454545454545505"/>
    <n v="1.0030395136778101"/>
    <n v="0.99494949494949503"/>
    <n v="0.85281385281385302"/>
  </r>
  <r>
    <n v="873"/>
    <n v="79"/>
    <s v="2018-11-07"/>
    <x v="0"/>
    <x v="11"/>
    <n v="873"/>
    <x v="11"/>
    <n v="144"/>
    <n v="500"/>
    <d v="2018-11-07T06:00:00"/>
    <d v="2018-11-07T14:00:00"/>
    <n v="8"/>
    <n v="7.2166666666666703"/>
    <n v="3.47216666666667"/>
    <n v="224.67"/>
    <n v="47"/>
    <n v="7"/>
    <n v="0.48113163972286399"/>
    <n v="1.0000160002559999"/>
    <n v="0.98599999999999999"/>
    <n v="0.474403387220939"/>
  </r>
  <r>
    <n v="910"/>
    <n v="18"/>
    <s v="2018-11-07"/>
    <x v="1"/>
    <x v="0"/>
    <n v="910"/>
    <x v="0"/>
    <n v="78"/>
    <n v="342"/>
    <d v="2018-11-07T14:00:00"/>
    <d v="2018-11-07T20:11:57"/>
    <n v="6.1991666666666703"/>
    <n v="5.6991666666666703"/>
    <n v="4.5541666666666698"/>
    <n v="68.7"/>
    <n v="30"/>
    <n v="0"/>
    <n v="0.79909343471267702"/>
    <n v="0.96277007530438496"/>
    <n v="1"/>
    <n v="0.76934324631356399"/>
  </r>
  <r>
    <n v="910"/>
    <n v="18"/>
    <s v="2018-11-07"/>
    <x v="1"/>
    <x v="0"/>
    <n v="910"/>
    <x v="12"/>
    <n v="78"/>
    <n v="34"/>
    <d v="2018-11-07T20:11:57"/>
    <d v="2018-11-07T21:30:00"/>
    <n v="1.30083333333333"/>
    <n v="0.80083333333333295"/>
    <n v="0.30083333333333301"/>
    <n v="30"/>
    <n v="30"/>
    <n v="1"/>
    <n v="0.37565036420395398"/>
    <n v="1.4489665459194501"/>
    <n v="0.97058823529411797"/>
    <n v="0.52829584567357701"/>
  </r>
  <r>
    <n v="914"/>
    <n v="21"/>
    <s v="2018-11-07"/>
    <x v="1"/>
    <x v="1"/>
    <n v="914"/>
    <x v="1"/>
    <n v="78"/>
    <n v="448"/>
    <d v="2018-11-07T14:00:00"/>
    <d v="2018-11-07T21:30:00"/>
    <n v="7.5"/>
    <n v="6.8666666666666698"/>
    <n v="5.75"/>
    <n v="67"/>
    <n v="38"/>
    <n v="17"/>
    <n v="0.83737864077669899"/>
    <n v="0.99888517279821598"/>
    <n v="0.96205357142857095"/>
    <n v="0.80470500373413001"/>
  </r>
  <r>
    <n v="903"/>
    <n v="22"/>
    <s v="2018-11-07"/>
    <x v="1"/>
    <x v="2"/>
    <n v="903"/>
    <x v="2"/>
    <n v="78"/>
    <n v="103"/>
    <d v="2018-11-07T14:00:00"/>
    <d v="2018-11-07T15:52:59"/>
    <n v="1.8830555555555599"/>
    <n v="1.74138888888889"/>
    <n v="1.3247222222222199"/>
    <n v="25"/>
    <n v="8.5"/>
    <n v="2"/>
    <n v="0.76072738873823598"/>
    <n v="0.99682242689162404"/>
    <n v="0.980582524271845"/>
    <n v="0.74358565345963701"/>
  </r>
  <r>
    <n v="903"/>
    <n v="22"/>
    <s v="2018-11-07"/>
    <x v="1"/>
    <x v="2"/>
    <n v="903"/>
    <x v="13"/>
    <n v="78"/>
    <n v="200"/>
    <d v="2018-11-07T15:52:59"/>
    <d v="2018-11-07T19:25:41"/>
    <n v="3.5449999999999999"/>
    <n v="3.0449999999999999"/>
    <n v="2.57833333333333"/>
    <n v="28"/>
    <n v="30"/>
    <n v="2"/>
    <n v="0.84674329501915702"/>
    <n v="0.99448063248968199"/>
    <n v="0.99"/>
    <n v="0.83364910951117899"/>
  </r>
  <r>
    <n v="903"/>
    <n v="22"/>
    <s v="2018-11-07"/>
    <x v="1"/>
    <x v="2"/>
    <n v="903"/>
    <x v="2"/>
    <n v="78"/>
    <n v="140"/>
    <d v="2018-11-07T19:25:41"/>
    <d v="2018-11-07T21:30:00"/>
    <n v="2.0719444444444401"/>
    <n v="2.0719444444444401"/>
    <n v="1.7819444444444399"/>
    <n v="17.399999999999999"/>
    <n v="0"/>
    <n v="0"/>
    <n v="0.86003485721946604"/>
    <n v="1.0072546315726401"/>
    <n v="1"/>
    <n v="0.86627409324821802"/>
  </r>
  <r>
    <n v="915"/>
    <n v="23"/>
    <s v="2018-11-07"/>
    <x v="1"/>
    <x v="3"/>
    <n v="915"/>
    <x v="3"/>
    <n v="78"/>
    <n v="472"/>
    <d v="2018-11-07T14:00:00"/>
    <d v="2018-11-07T21:30:00"/>
    <n v="7.5"/>
    <n v="6.6283333333333303"/>
    <n v="6.0833333333333304"/>
    <n v="32.700000000000003"/>
    <n v="52.3"/>
    <n v="0"/>
    <n v="0.91777721900930398"/>
    <n v="0.99473129610115896"/>
    <n v="1"/>
    <n v="0.91294172259724204"/>
  </r>
  <r>
    <n v="909"/>
    <n v="37"/>
    <s v="2018-11-07"/>
    <x v="1"/>
    <x v="4"/>
    <n v="909"/>
    <x v="4"/>
    <n v="141"/>
    <n v="347"/>
    <d v="2018-11-07T14:00:00"/>
    <d v="2018-11-07T16:29:36"/>
    <n v="2.4933333333333301"/>
    <n v="2.4933333333333301"/>
    <n v="2.4516666666666702"/>
    <n v="2.5"/>
    <n v="0"/>
    <n v="0"/>
    <n v="0.98328877005347604"/>
    <n v="1.00380404125143"/>
    <n v="1"/>
    <n v="0.98702924109682599"/>
  </r>
  <r>
    <n v="909"/>
    <n v="37"/>
    <s v="2018-11-07"/>
    <x v="1"/>
    <x v="4"/>
    <n v="909"/>
    <x v="14"/>
    <n v="141"/>
    <n v="619"/>
    <d v="2018-11-07T16:29:36"/>
    <d v="2018-11-07T21:30:00"/>
    <n v="5.0066666666666704"/>
    <n v="4.5066666666666704"/>
    <n v="4.3983333333333299"/>
    <n v="6.5"/>
    <n v="30"/>
    <n v="0"/>
    <n v="0.97596153846153799"/>
    <n v="0.99812146767392596"/>
    <n v="1"/>
    <n v="0.97412816316253303"/>
  </r>
  <r>
    <n v="907"/>
    <n v="42"/>
    <s v="2018-11-07"/>
    <x v="1"/>
    <x v="5"/>
    <n v="907"/>
    <x v="5"/>
    <n v="156"/>
    <n v="808"/>
    <d v="2018-11-07T14:00:00"/>
    <d v="2018-11-07T21:30:00"/>
    <n v="7.5"/>
    <n v="7"/>
    <n v="5.1966666666666699"/>
    <n v="108.2"/>
    <n v="30"/>
    <n v="7"/>
    <n v="0.74238095238095203"/>
    <n v="0.99669413332017598"/>
    <n v="0.991336633663366"/>
    <n v="0.73351648351648402"/>
  </r>
  <r>
    <n v="906"/>
    <n v="43"/>
    <s v="2018-11-07"/>
    <x v="1"/>
    <x v="6"/>
    <n v="906"/>
    <x v="6"/>
    <n v="156"/>
    <n v="802"/>
    <d v="2018-11-07T14:00:00"/>
    <d v="2018-11-07T21:30:00"/>
    <n v="7.5"/>
    <n v="7"/>
    <n v="5.1749999999999998"/>
    <n v="109.5"/>
    <n v="30"/>
    <n v="69"/>
    <n v="0.73928571428571399"/>
    <n v="0.99343490647838495"/>
    <n v="0.91396508728179504"/>
    <n v="0.67124542124542097"/>
  </r>
  <r>
    <n v="911"/>
    <n v="44"/>
    <s v="2018-11-07"/>
    <x v="1"/>
    <x v="7"/>
    <n v="911"/>
    <x v="7"/>
    <n v="156"/>
    <n v="956"/>
    <d v="2018-11-07T14:00:00"/>
    <d v="2018-11-07T21:30:00"/>
    <n v="7.5"/>
    <n v="6.7733333333333299"/>
    <n v="6.1383333333333301"/>
    <n v="38.1"/>
    <n v="43.6"/>
    <n v="0"/>
    <n v="0.90625"/>
    <n v="0.99835000731009405"/>
    <n v="1"/>
    <n v="0.90475469412477305"/>
  </r>
  <r>
    <n v="912"/>
    <n v="45"/>
    <s v="2018-11-07"/>
    <x v="1"/>
    <x v="8"/>
    <n v="912"/>
    <x v="8"/>
    <n v="156"/>
    <n v="856"/>
    <d v="2018-11-07T14:00:00"/>
    <d v="2018-11-07T21:30:00"/>
    <n v="7.5"/>
    <n v="7"/>
    <n v="5.4866666666666699"/>
    <n v="90.8"/>
    <n v="30"/>
    <n v="0"/>
    <n v="0.78380952380952396"/>
    <n v="1.0000934666791299"/>
    <n v="1"/>
    <n v="0.78388278388278398"/>
  </r>
  <r>
    <n v="913"/>
    <n v="46"/>
    <s v="2018-11-07"/>
    <x v="1"/>
    <x v="9"/>
    <n v="913"/>
    <x v="9"/>
    <n v="156"/>
    <n v="902"/>
    <d v="2018-11-07T14:00:00"/>
    <d v="2018-11-07T21:30:00"/>
    <n v="7.5"/>
    <n v="7"/>
    <n v="5.79"/>
    <n v="72.599999999999994"/>
    <n v="30"/>
    <n v="0"/>
    <n v="0.82714285714285696"/>
    <n v="0.998627164430273"/>
    <n v="1"/>
    <n v="0.82600732600732596"/>
  </r>
  <r>
    <n v="905"/>
    <n v="48"/>
    <s v="2018-11-07"/>
    <x v="1"/>
    <x v="10"/>
    <n v="905"/>
    <x v="10"/>
    <n v="63"/>
    <n v="406"/>
    <d v="2018-11-07T14:00:00"/>
    <d v="2018-11-07T21:30:00"/>
    <n v="7.5"/>
    <n v="6.8254666666666699"/>
    <n v="6.4421333333333299"/>
    <n v="23"/>
    <n v="40.472000000000001"/>
    <n v="1"/>
    <n v="0.94383778398546603"/>
    <n v="1.00035874934459"/>
    <n v="0.99753694581280805"/>
    <n v="0.94185082757292704"/>
  </r>
  <r>
    <n v="916"/>
    <n v="80"/>
    <s v="2018-11-07"/>
    <x v="1"/>
    <x v="12"/>
    <n v="916"/>
    <x v="15"/>
    <n v="144"/>
    <n v="340"/>
    <d v="2018-11-07T14:00:00"/>
    <d v="2018-11-07T21:30:00"/>
    <n v="7.5"/>
    <n v="7"/>
    <n v="2.3833333333333302"/>
    <n v="277"/>
    <n v="30"/>
    <n v="0"/>
    <n v="0.34047619047619099"/>
    <n v="0.99067599067599099"/>
    <n v="1"/>
    <n v="0.33730158730158699"/>
  </r>
  <r>
    <n v="919"/>
    <n v="21"/>
    <s v="2018-11-07"/>
    <x v="2"/>
    <x v="1"/>
    <n v="919"/>
    <x v="1"/>
    <n v="78"/>
    <n v="202"/>
    <d v="2018-11-07T21:30:00"/>
    <d v="2018-11-08T06:00:00"/>
    <n v="8.5"/>
    <n v="3.7666666666666702"/>
    <n v="2.7166666666666699"/>
    <n v="63"/>
    <n v="284"/>
    <n v="8"/>
    <n v="0.72123893805309702"/>
    <n v="0.95327984898536999"/>
    <n v="0.96039603960396003"/>
    <n v="0.66031313818924398"/>
  </r>
  <r>
    <n v="917"/>
    <n v="23"/>
    <s v="2018-11-07"/>
    <x v="2"/>
    <x v="3"/>
    <n v="917"/>
    <x v="3"/>
    <n v="78"/>
    <n v="225"/>
    <d v="2018-11-07T21:30:00"/>
    <d v="2018-11-08T06:00:00"/>
    <n v="8.5"/>
    <n v="3.0633333333333299"/>
    <n v="2.8916666666666702"/>
    <n v="10.3"/>
    <n v="326.2"/>
    <n v="0"/>
    <n v="0.94396082698585404"/>
    <n v="0.99756151629350498"/>
    <n v="1"/>
    <n v="0.941658993889679"/>
  </r>
  <r>
    <n v="918"/>
    <n v="48"/>
    <s v="2018-11-07"/>
    <x v="2"/>
    <x v="10"/>
    <n v="918"/>
    <x v="10"/>
    <n v="63"/>
    <n v="437"/>
    <d v="2018-11-07T21:30:00"/>
    <d v="2018-11-08T06:00:00"/>
    <n v="8.5"/>
    <n v="7.85666666666667"/>
    <n v="7.0716666666666699"/>
    <n v="47.1"/>
    <n v="38.6"/>
    <n v="1"/>
    <n v="0.90008485362749302"/>
    <n v="0.98088728774564304"/>
    <n v="0.99771167048054898"/>
    <n v="0.88086146635149598"/>
  </r>
  <r>
    <m/>
    <m/>
    <m/>
    <x v="3"/>
    <x v="13"/>
    <m/>
    <x v="16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olHeaderCaption="Turno">
  <location ref="B4:F35" firstHeaderRow="1" firstDataRow="2" firstDataCol="1"/>
  <pivotFields count="21">
    <pivotField showAll="0"/>
    <pivotField showAll="0"/>
    <pivotField showAll="0"/>
    <pivotField axis="axisCol" showAll="0">
      <items count="5">
        <item x="0"/>
        <item x="1"/>
        <item x="2"/>
        <item h="1" x="3"/>
        <item t="default"/>
      </items>
    </pivotField>
    <pivotField axis="axisRow" showAll="0">
      <items count="15">
        <item x="2"/>
        <item x="1"/>
        <item sd="0" x="13"/>
        <item x="0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axis="axisRow" showAll="0">
      <items count="22">
        <item m="1" x="19"/>
        <item m="1" x="17"/>
        <item m="1" x="20"/>
        <item x="1"/>
        <item m="1" x="18"/>
        <item x="16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4"/>
    <field x="6"/>
  </rowFields>
  <rowItems count="30">
    <i>
      <x/>
    </i>
    <i r="1">
      <x v="7"/>
    </i>
    <i r="1">
      <x v="18"/>
    </i>
    <i>
      <x v="1"/>
    </i>
    <i r="1">
      <x v="3"/>
    </i>
    <i>
      <x v="3"/>
    </i>
    <i r="1">
      <x v="6"/>
    </i>
    <i r="1">
      <x v="17"/>
    </i>
    <i>
      <x v="4"/>
    </i>
    <i r="1">
      <x v="8"/>
    </i>
    <i>
      <x v="5"/>
    </i>
    <i r="1">
      <x v="9"/>
    </i>
    <i r="1">
      <x v="19"/>
    </i>
    <i>
      <x v="6"/>
    </i>
    <i r="1">
      <x v="10"/>
    </i>
    <i>
      <x v="7"/>
    </i>
    <i r="1">
      <x v="11"/>
    </i>
    <i>
      <x v="8"/>
    </i>
    <i r="1">
      <x v="12"/>
    </i>
    <i>
      <x v="9"/>
    </i>
    <i r="1">
      <x v="13"/>
    </i>
    <i>
      <x v="10"/>
    </i>
    <i r="1">
      <x v="14"/>
    </i>
    <i>
      <x v="11"/>
    </i>
    <i r="1">
      <x v="15"/>
    </i>
    <i>
      <x v="12"/>
    </i>
    <i r="1">
      <x v="16"/>
    </i>
    <i>
      <x v="13"/>
    </i>
    <i r="1">
      <x v="20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dataFields count="1">
    <dataField name="Sum of TOTAL" fld="8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Reporte" connectionId="1" autoFormatId="16" applyNumberFormats="0" applyBorderFormats="0" applyFontFormats="0" applyPatternFormats="0" applyAlignmentFormats="0" applyWidthHeightFormats="0">
  <queryTableRefresh nextId="22">
    <queryTableFields count="21">
      <queryTableField id="1" name="ID" tableColumnId="1"/>
      <queryTableField id="2" name="Asset_ID" tableColumnId="2"/>
      <queryTableField id="3" name="ProductionDate" tableColumnId="3"/>
      <queryTableField id="4" name="Shift" tableColumnId="4"/>
      <queryTableField id="5" name="Name" tableColumnId="5"/>
      <queryTableField id="6" name="ReportID" tableColumnId="6"/>
      <queryTableField id="7" name="Part" tableColumnId="7"/>
      <queryTableField id="8" name="JPH" tableColumnId="8"/>
      <queryTableField id="9" name="TOTAL" tableColumnId="9"/>
      <queryTableField id="10" name="Start" tableColumnId="10"/>
      <queryTableField id="11" name="End" tableColumnId="11"/>
      <queryTableField id="12" name="Hours" tableColumnId="12"/>
      <queryTableField id="13" name="PPT" tableColumnId="13"/>
      <queryTableField id="14" name="OT" tableColumnId="14"/>
      <queryTableField id="15" name="Downtime" tableColumnId="15"/>
      <queryTableField id="16" name="PlannedDowntime" tableColumnId="16"/>
      <queryTableField id="17" name="Rejected" tableColumnId="17"/>
      <queryTableField id="18" name="Availability" tableColumnId="18"/>
      <queryTableField id="19" name="Performance" tableColumnId="19"/>
      <queryTableField id="20" name="Quality" tableColumnId="20"/>
      <queryTableField id="21" name="OEE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Reporte" displayName="Table_Query_from_Reporte" ref="A1:U32" tableType="queryTable" totalsRowShown="0">
  <autoFilter ref="A1:U32">
    <filterColumn colId="4">
      <filters>
        <filter val="REAR SOLDADO"/>
      </filters>
    </filterColumn>
  </autoFilter>
  <tableColumns count="21">
    <tableColumn id="1" uniqueName="1" name="ID" queryTableFieldId="1"/>
    <tableColumn id="2" uniqueName="2" name="Asset_ID" queryTableFieldId="2"/>
    <tableColumn id="3" uniqueName="3" name="ProductionDate" queryTableFieldId="3"/>
    <tableColumn id="4" uniqueName="4" name="Shift" queryTableFieldId="4"/>
    <tableColumn id="5" uniqueName="5" name="Name" queryTableFieldId="5"/>
    <tableColumn id="6" uniqueName="6" name="ReportID" queryTableFieldId="6"/>
    <tableColumn id="7" uniqueName="7" name="Part" queryTableFieldId="7"/>
    <tableColumn id="8" uniqueName="8" name="JPH" queryTableFieldId="8"/>
    <tableColumn id="9" uniqueName="9" name="TOTAL" queryTableFieldId="9"/>
    <tableColumn id="10" uniqueName="10" name="Start" queryTableFieldId="10" dataDxfId="1"/>
    <tableColumn id="11" uniqueName="11" name="End" queryTableFieldId="11" dataDxfId="0"/>
    <tableColumn id="12" uniqueName="12" name="Hours" queryTableFieldId="12"/>
    <tableColumn id="13" uniqueName="13" name="PPT" queryTableFieldId="13"/>
    <tableColumn id="14" uniqueName="14" name="OT" queryTableFieldId="14"/>
    <tableColumn id="15" uniqueName="15" name="Downtime" queryTableFieldId="15"/>
    <tableColumn id="16" uniqueName="16" name="PlannedDowntime" queryTableFieldId="16"/>
    <tableColumn id="17" uniqueName="17" name="Rejected" queryTableFieldId="17"/>
    <tableColumn id="18" uniqueName="18" name="Availability" queryTableFieldId="18"/>
    <tableColumn id="19" uniqueName="19" name="Performance" queryTableFieldId="19"/>
    <tableColumn id="20" uniqueName="20" name="Quality" queryTableFieldId="20"/>
    <tableColumn id="21" uniqueName="21" name="OEE" queryTableFieldId="2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32"/>
  <sheetViews>
    <sheetView workbookViewId="0">
      <selection activeCell="G18" sqref="G18"/>
    </sheetView>
  </sheetViews>
  <sheetFormatPr defaultRowHeight="15" x14ac:dyDescent="0.25"/>
  <cols>
    <col min="1" max="1" width="5.140625" bestFit="1" customWidth="1"/>
    <col min="2" max="2" width="11" bestFit="1" customWidth="1"/>
    <col min="3" max="3" width="17.28515625" bestFit="1" customWidth="1"/>
    <col min="4" max="4" width="7.42578125" bestFit="1" customWidth="1"/>
    <col min="5" max="5" width="22.85546875" bestFit="1" customWidth="1"/>
    <col min="6" max="6" width="11.140625" bestFit="1" customWidth="1"/>
    <col min="7" max="7" width="18.28515625" bestFit="1" customWidth="1"/>
    <col min="8" max="8" width="6.42578125" bestFit="1" customWidth="1"/>
    <col min="9" max="9" width="8.85546875" bestFit="1" customWidth="1"/>
    <col min="10" max="11" width="15.85546875" bestFit="1" customWidth="1"/>
    <col min="12" max="12" width="12" customWidth="1"/>
    <col min="13" max="14" width="12" bestFit="1" customWidth="1"/>
    <col min="15" max="15" width="12.5703125" bestFit="1" customWidth="1"/>
    <col min="16" max="16" width="20.140625" bestFit="1" customWidth="1"/>
    <col min="17" max="17" width="11.140625" bestFit="1" customWidth="1"/>
    <col min="18" max="18" width="13.28515625" bestFit="1" customWidth="1"/>
    <col min="19" max="19" width="14.7109375" bestFit="1" customWidth="1"/>
    <col min="20" max="20" width="12" customWidth="1"/>
    <col min="21" max="21" width="12" bestFit="1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</row>
    <row r="2" spans="1:21" hidden="1" x14ac:dyDescent="0.25">
      <c r="A2">
        <v>865</v>
      </c>
      <c r="B2">
        <v>18</v>
      </c>
      <c r="C2" t="s">
        <v>72</v>
      </c>
      <c r="D2" t="s">
        <v>24</v>
      </c>
      <c r="E2" t="s">
        <v>60</v>
      </c>
      <c r="F2">
        <v>865</v>
      </c>
      <c r="G2" t="s">
        <v>62</v>
      </c>
      <c r="H2">
        <v>78</v>
      </c>
      <c r="I2">
        <v>466</v>
      </c>
      <c r="J2" s="1">
        <v>43411.25</v>
      </c>
      <c r="K2" s="1">
        <v>43411.583333333336</v>
      </c>
      <c r="L2">
        <v>8</v>
      </c>
      <c r="M2">
        <v>7.0216666666666701</v>
      </c>
      <c r="N2">
        <v>5.9883333333333297</v>
      </c>
      <c r="O2">
        <v>62</v>
      </c>
      <c r="P2">
        <v>58.7</v>
      </c>
      <c r="Q2">
        <v>1</v>
      </c>
      <c r="R2">
        <v>0.85283645858058399</v>
      </c>
      <c r="S2">
        <v>0.99766640262048001</v>
      </c>
      <c r="T2">
        <v>0.99785407725321895</v>
      </c>
      <c r="U2">
        <v>0.84902043126586202</v>
      </c>
    </row>
    <row r="3" spans="1:21" x14ac:dyDescent="0.25">
      <c r="A3">
        <v>863</v>
      </c>
      <c r="B3">
        <v>21</v>
      </c>
      <c r="C3" t="s">
        <v>72</v>
      </c>
      <c r="D3" t="s">
        <v>24</v>
      </c>
      <c r="E3" t="s">
        <v>22</v>
      </c>
      <c r="F3">
        <v>863</v>
      </c>
      <c r="G3" t="s">
        <v>23</v>
      </c>
      <c r="H3">
        <v>78</v>
      </c>
      <c r="I3">
        <v>505</v>
      </c>
      <c r="J3" s="1">
        <v>43411.25</v>
      </c>
      <c r="K3" s="1">
        <v>43411.583333333336</v>
      </c>
      <c r="L3">
        <v>8</v>
      </c>
      <c r="M3">
        <v>7.43333333333333</v>
      </c>
      <c r="N3">
        <v>6.4744999999999999</v>
      </c>
      <c r="O3">
        <v>57.53</v>
      </c>
      <c r="P3">
        <v>34</v>
      </c>
      <c r="Q3">
        <v>18</v>
      </c>
      <c r="R3">
        <v>0.87100896860986499</v>
      </c>
      <c r="S3">
        <v>0.99997821829623501</v>
      </c>
      <c r="T3">
        <v>0.96435643564356399</v>
      </c>
      <c r="U3">
        <v>0.83994480855467402</v>
      </c>
    </row>
    <row r="4" spans="1:21" hidden="1" x14ac:dyDescent="0.25">
      <c r="A4">
        <v>862</v>
      </c>
      <c r="B4">
        <v>22</v>
      </c>
      <c r="C4" t="s">
        <v>72</v>
      </c>
      <c r="D4" t="s">
        <v>24</v>
      </c>
      <c r="E4" t="s">
        <v>25</v>
      </c>
      <c r="F4">
        <v>862</v>
      </c>
      <c r="G4" t="s">
        <v>70</v>
      </c>
      <c r="H4">
        <v>78</v>
      </c>
      <c r="I4">
        <v>469</v>
      </c>
      <c r="J4" s="1">
        <v>43411.25</v>
      </c>
      <c r="K4" s="1">
        <v>43411.583333333336</v>
      </c>
      <c r="L4">
        <v>8</v>
      </c>
      <c r="M4">
        <v>7.3666666666666698</v>
      </c>
      <c r="N4">
        <v>6.0128333333333304</v>
      </c>
      <c r="O4">
        <v>81.23</v>
      </c>
      <c r="P4">
        <v>38</v>
      </c>
      <c r="Q4">
        <v>24</v>
      </c>
      <c r="R4">
        <v>0.81622171945701405</v>
      </c>
      <c r="S4">
        <v>0.99999786780838396</v>
      </c>
      <c r="T4">
        <v>0.94882729211087402</v>
      </c>
      <c r="U4">
        <v>0.77445179255134</v>
      </c>
    </row>
    <row r="5" spans="1:21" hidden="1" x14ac:dyDescent="0.25">
      <c r="A5">
        <v>866</v>
      </c>
      <c r="B5">
        <v>23</v>
      </c>
      <c r="C5" t="s">
        <v>72</v>
      </c>
      <c r="D5" t="s">
        <v>24</v>
      </c>
      <c r="E5" t="s">
        <v>65</v>
      </c>
      <c r="F5">
        <v>866</v>
      </c>
      <c r="G5" t="s">
        <v>66</v>
      </c>
      <c r="H5">
        <v>78</v>
      </c>
      <c r="I5">
        <v>446</v>
      </c>
      <c r="J5" s="1">
        <v>43411.25</v>
      </c>
      <c r="K5" s="1">
        <v>43411.583333333336</v>
      </c>
      <c r="L5">
        <v>8</v>
      </c>
      <c r="M5">
        <v>6.0465</v>
      </c>
      <c r="N5">
        <v>5.7181666666666704</v>
      </c>
      <c r="O5">
        <v>19.7</v>
      </c>
      <c r="P5">
        <v>117.21</v>
      </c>
      <c r="Q5">
        <v>0</v>
      </c>
      <c r="R5">
        <v>0.94569861352297502</v>
      </c>
      <c r="S5">
        <v>0.99996188486089099</v>
      </c>
      <c r="T5">
        <v>1</v>
      </c>
      <c r="U5">
        <v>0.94566256808876503</v>
      </c>
    </row>
    <row r="6" spans="1:21" hidden="1" x14ac:dyDescent="0.25">
      <c r="A6">
        <v>871</v>
      </c>
      <c r="B6">
        <v>37</v>
      </c>
      <c r="C6" t="s">
        <v>72</v>
      </c>
      <c r="D6" t="s">
        <v>24</v>
      </c>
      <c r="E6" t="s">
        <v>49</v>
      </c>
      <c r="F6">
        <v>871</v>
      </c>
      <c r="G6" t="s">
        <v>71</v>
      </c>
      <c r="H6">
        <v>141</v>
      </c>
      <c r="I6">
        <v>971</v>
      </c>
      <c r="J6" s="1">
        <v>43411.25</v>
      </c>
      <c r="K6" s="1">
        <v>43411.583333333336</v>
      </c>
      <c r="L6">
        <v>8</v>
      </c>
      <c r="M6">
        <v>7.3109999999999999</v>
      </c>
      <c r="N6">
        <v>6.88683333333333</v>
      </c>
      <c r="O6">
        <v>25.45</v>
      </c>
      <c r="P6">
        <v>41.34</v>
      </c>
      <c r="Q6">
        <v>10</v>
      </c>
      <c r="R6">
        <v>0.94198240094834296</v>
      </c>
      <c r="S6">
        <v>0.999955202830769</v>
      </c>
      <c r="T6">
        <v>0.98970133882595301</v>
      </c>
      <c r="U6">
        <v>0.93223947980843003</v>
      </c>
    </row>
    <row r="7" spans="1:21" hidden="1" x14ac:dyDescent="0.25">
      <c r="A7">
        <v>877</v>
      </c>
      <c r="B7">
        <v>42</v>
      </c>
      <c r="C7" t="s">
        <v>72</v>
      </c>
      <c r="D7" t="s">
        <v>24</v>
      </c>
      <c r="E7" t="s">
        <v>51</v>
      </c>
      <c r="F7">
        <v>877</v>
      </c>
      <c r="G7" t="s">
        <v>52</v>
      </c>
      <c r="H7">
        <v>156</v>
      </c>
      <c r="I7">
        <v>997</v>
      </c>
      <c r="J7" s="1">
        <v>43411.25</v>
      </c>
      <c r="K7" s="1">
        <v>43411.583333333336</v>
      </c>
      <c r="L7">
        <v>8</v>
      </c>
      <c r="M7">
        <v>7.2608333333333297</v>
      </c>
      <c r="N7">
        <v>6.3911666666666704</v>
      </c>
      <c r="O7">
        <v>52.18</v>
      </c>
      <c r="P7">
        <v>44.35</v>
      </c>
      <c r="Q7">
        <v>12</v>
      </c>
      <c r="R7">
        <v>0.88022495122231104</v>
      </c>
      <c r="S7">
        <v>0.99997793428831105</v>
      </c>
      <c r="T7">
        <v>0.98796389167502496</v>
      </c>
      <c r="U7">
        <v>0.86961127934386295</v>
      </c>
    </row>
    <row r="8" spans="1:21" hidden="1" x14ac:dyDescent="0.25">
      <c r="A8">
        <v>864</v>
      </c>
      <c r="B8">
        <v>43</v>
      </c>
      <c r="C8" t="s">
        <v>72</v>
      </c>
      <c r="D8" t="s">
        <v>24</v>
      </c>
      <c r="E8" t="s">
        <v>47</v>
      </c>
      <c r="F8">
        <v>864</v>
      </c>
      <c r="G8" t="s">
        <v>48</v>
      </c>
      <c r="H8">
        <v>156</v>
      </c>
      <c r="I8">
        <v>861</v>
      </c>
      <c r="J8" s="1">
        <v>43411.25</v>
      </c>
      <c r="K8" s="1">
        <v>43411.583333333336</v>
      </c>
      <c r="L8">
        <v>8</v>
      </c>
      <c r="M8">
        <v>6.4375</v>
      </c>
      <c r="N8">
        <v>5.5191666666666697</v>
      </c>
      <c r="O8">
        <v>55.1</v>
      </c>
      <c r="P8">
        <v>93.75</v>
      </c>
      <c r="Q8">
        <v>5</v>
      </c>
      <c r="R8">
        <v>0.85734627831715204</v>
      </c>
      <c r="S8">
        <v>1.0000116145367499</v>
      </c>
      <c r="T8">
        <v>0.99419279907084801</v>
      </c>
      <c r="U8">
        <v>0.85237739606671603</v>
      </c>
    </row>
    <row r="9" spans="1:21" hidden="1" x14ac:dyDescent="0.25">
      <c r="A9">
        <v>867</v>
      </c>
      <c r="B9">
        <v>44</v>
      </c>
      <c r="C9" t="s">
        <v>72</v>
      </c>
      <c r="D9" t="s">
        <v>24</v>
      </c>
      <c r="E9" t="s">
        <v>63</v>
      </c>
      <c r="F9">
        <v>867</v>
      </c>
      <c r="G9" t="s">
        <v>64</v>
      </c>
      <c r="H9">
        <v>156</v>
      </c>
      <c r="I9">
        <v>988</v>
      </c>
      <c r="J9" s="1">
        <v>43411.25</v>
      </c>
      <c r="K9" s="1">
        <v>43411.583333333336</v>
      </c>
      <c r="L9">
        <v>8</v>
      </c>
      <c r="M9">
        <v>7.1283333333333303</v>
      </c>
      <c r="N9">
        <v>6.3333333333333304</v>
      </c>
      <c r="O9">
        <v>47.7</v>
      </c>
      <c r="P9">
        <v>52.3</v>
      </c>
      <c r="Q9">
        <v>0</v>
      </c>
      <c r="R9">
        <v>0.88847322889876101</v>
      </c>
      <c r="S9">
        <v>1</v>
      </c>
      <c r="T9">
        <v>1</v>
      </c>
      <c r="U9">
        <v>0.88847322889876101</v>
      </c>
    </row>
    <row r="10" spans="1:21" hidden="1" x14ac:dyDescent="0.25">
      <c r="A10">
        <v>868</v>
      </c>
      <c r="B10">
        <v>45</v>
      </c>
      <c r="C10" t="s">
        <v>72</v>
      </c>
      <c r="D10" t="s">
        <v>24</v>
      </c>
      <c r="E10" t="s">
        <v>67</v>
      </c>
      <c r="F10">
        <v>868</v>
      </c>
      <c r="G10" t="s">
        <v>68</v>
      </c>
      <c r="H10">
        <v>156</v>
      </c>
      <c r="I10">
        <v>876</v>
      </c>
      <c r="J10" s="1">
        <v>43411.25</v>
      </c>
      <c r="K10" s="1">
        <v>43411.583333333336</v>
      </c>
      <c r="L10">
        <v>8</v>
      </c>
      <c r="M10">
        <v>7.5</v>
      </c>
      <c r="N10">
        <v>5.6151666666666697</v>
      </c>
      <c r="O10">
        <v>113.09</v>
      </c>
      <c r="P10">
        <v>30</v>
      </c>
      <c r="Q10">
        <v>0</v>
      </c>
      <c r="R10">
        <v>0.74868888888888896</v>
      </c>
      <c r="S10">
        <v>1.0000388142918799</v>
      </c>
      <c r="T10">
        <v>1</v>
      </c>
      <c r="U10">
        <v>0.74871794871794894</v>
      </c>
    </row>
    <row r="11" spans="1:21" hidden="1" x14ac:dyDescent="0.25">
      <c r="A11">
        <v>869</v>
      </c>
      <c r="B11">
        <v>46</v>
      </c>
      <c r="C11" t="s">
        <v>72</v>
      </c>
      <c r="D11" t="s">
        <v>24</v>
      </c>
      <c r="E11" t="s">
        <v>56</v>
      </c>
      <c r="F11">
        <v>869</v>
      </c>
      <c r="G11" t="s">
        <v>57</v>
      </c>
      <c r="H11">
        <v>156</v>
      </c>
      <c r="I11">
        <v>930</v>
      </c>
      <c r="J11" s="1">
        <v>43411.25</v>
      </c>
      <c r="K11" s="1">
        <v>43411.583333333336</v>
      </c>
      <c r="L11">
        <v>8</v>
      </c>
      <c r="M11">
        <v>7.5</v>
      </c>
      <c r="N11">
        <v>5.9613333333333296</v>
      </c>
      <c r="O11">
        <v>92.32</v>
      </c>
      <c r="P11">
        <v>30</v>
      </c>
      <c r="Q11">
        <v>0</v>
      </c>
      <c r="R11">
        <v>0.79484444444444402</v>
      </c>
      <c r="S11">
        <v>1.00003440978614</v>
      </c>
      <c r="T11">
        <v>1</v>
      </c>
      <c r="U11">
        <v>0.79487179487179505</v>
      </c>
    </row>
    <row r="12" spans="1:21" hidden="1" x14ac:dyDescent="0.25">
      <c r="A12">
        <v>895</v>
      </c>
      <c r="B12">
        <v>48</v>
      </c>
      <c r="C12" t="s">
        <v>72</v>
      </c>
      <c r="D12" t="s">
        <v>24</v>
      </c>
      <c r="E12" t="s">
        <v>53</v>
      </c>
      <c r="F12">
        <v>895</v>
      </c>
      <c r="G12" t="s">
        <v>54</v>
      </c>
      <c r="H12">
        <v>63</v>
      </c>
      <c r="I12">
        <v>396</v>
      </c>
      <c r="J12" s="1">
        <v>43411.25</v>
      </c>
      <c r="K12" s="1">
        <v>43411.583333333336</v>
      </c>
      <c r="L12">
        <v>8</v>
      </c>
      <c r="M12">
        <v>7.3333333333333304</v>
      </c>
      <c r="N12">
        <v>6.2666666666666702</v>
      </c>
      <c r="O12">
        <v>64</v>
      </c>
      <c r="P12">
        <v>40</v>
      </c>
      <c r="Q12">
        <v>2</v>
      </c>
      <c r="R12">
        <v>0.85454545454545505</v>
      </c>
      <c r="S12">
        <v>1.0030395136778101</v>
      </c>
      <c r="T12">
        <v>0.99494949494949503</v>
      </c>
      <c r="U12">
        <v>0.85281385281385302</v>
      </c>
    </row>
    <row r="13" spans="1:21" hidden="1" x14ac:dyDescent="0.25">
      <c r="A13">
        <v>873</v>
      </c>
      <c r="B13">
        <v>79</v>
      </c>
      <c r="C13" t="s">
        <v>72</v>
      </c>
      <c r="D13" t="s">
        <v>24</v>
      </c>
      <c r="E13" t="s">
        <v>45</v>
      </c>
      <c r="F13">
        <v>873</v>
      </c>
      <c r="G13" t="s">
        <v>46</v>
      </c>
      <c r="H13">
        <v>144</v>
      </c>
      <c r="I13">
        <v>500</v>
      </c>
      <c r="J13" s="1">
        <v>43411.25</v>
      </c>
      <c r="K13" s="1">
        <v>43411.583333333336</v>
      </c>
      <c r="L13">
        <v>8</v>
      </c>
      <c r="M13">
        <v>7.2166666666666703</v>
      </c>
      <c r="N13">
        <v>3.47216666666667</v>
      </c>
      <c r="O13">
        <v>224.67</v>
      </c>
      <c r="P13">
        <v>47</v>
      </c>
      <c r="Q13">
        <v>7</v>
      </c>
      <c r="R13">
        <v>0.48113163972286399</v>
      </c>
      <c r="S13">
        <v>1.0000160002559999</v>
      </c>
      <c r="T13">
        <v>0.98599999999999999</v>
      </c>
      <c r="U13">
        <v>0.474403387220939</v>
      </c>
    </row>
    <row r="14" spans="1:21" hidden="1" x14ac:dyDescent="0.25">
      <c r="A14">
        <v>910</v>
      </c>
      <c r="B14">
        <v>18</v>
      </c>
      <c r="C14" t="s">
        <v>72</v>
      </c>
      <c r="D14" t="s">
        <v>21</v>
      </c>
      <c r="E14" t="s">
        <v>60</v>
      </c>
      <c r="F14">
        <v>910</v>
      </c>
      <c r="G14" t="s">
        <v>62</v>
      </c>
      <c r="H14">
        <v>78</v>
      </c>
      <c r="I14">
        <v>342</v>
      </c>
      <c r="J14" s="1">
        <v>43411.583333333336</v>
      </c>
      <c r="K14" s="1">
        <v>43411.841631944444</v>
      </c>
      <c r="L14">
        <v>6.1991666666666703</v>
      </c>
      <c r="M14">
        <v>5.6991666666666703</v>
      </c>
      <c r="N14">
        <v>4.5541666666666698</v>
      </c>
      <c r="O14">
        <v>68.7</v>
      </c>
      <c r="P14">
        <v>30</v>
      </c>
      <c r="Q14">
        <v>0</v>
      </c>
      <c r="R14">
        <v>0.79909343471267702</v>
      </c>
      <c r="S14">
        <v>0.96277007530438496</v>
      </c>
      <c r="T14">
        <v>1</v>
      </c>
      <c r="U14">
        <v>0.76934324631356399</v>
      </c>
    </row>
    <row r="15" spans="1:21" hidden="1" x14ac:dyDescent="0.25">
      <c r="A15">
        <v>910</v>
      </c>
      <c r="B15">
        <v>18</v>
      </c>
      <c r="C15" t="s">
        <v>72</v>
      </c>
      <c r="D15" t="s">
        <v>21</v>
      </c>
      <c r="E15" t="s">
        <v>60</v>
      </c>
      <c r="F15">
        <v>910</v>
      </c>
      <c r="G15" t="s">
        <v>61</v>
      </c>
      <c r="H15">
        <v>78</v>
      </c>
      <c r="I15">
        <v>34</v>
      </c>
      <c r="J15" s="1">
        <v>43411.841631944444</v>
      </c>
      <c r="K15" s="1">
        <v>43411.895833333336</v>
      </c>
      <c r="L15">
        <v>1.30083333333333</v>
      </c>
      <c r="M15">
        <v>0.80083333333333295</v>
      </c>
      <c r="N15">
        <v>0.30083333333333301</v>
      </c>
      <c r="O15">
        <v>30</v>
      </c>
      <c r="P15">
        <v>30</v>
      </c>
      <c r="Q15">
        <v>1</v>
      </c>
      <c r="R15">
        <v>0.37565036420395398</v>
      </c>
      <c r="S15">
        <v>1.4489665459194501</v>
      </c>
      <c r="T15">
        <v>0.97058823529411797</v>
      </c>
      <c r="U15">
        <v>0.52829584567357701</v>
      </c>
    </row>
    <row r="16" spans="1:21" x14ac:dyDescent="0.25">
      <c r="A16">
        <v>914</v>
      </c>
      <c r="B16">
        <v>21</v>
      </c>
      <c r="C16" t="s">
        <v>72</v>
      </c>
      <c r="D16" t="s">
        <v>21</v>
      </c>
      <c r="E16" t="s">
        <v>22</v>
      </c>
      <c r="F16">
        <v>914</v>
      </c>
      <c r="G16" t="s">
        <v>23</v>
      </c>
      <c r="H16">
        <v>78</v>
      </c>
      <c r="I16">
        <v>448</v>
      </c>
      <c r="J16" s="1">
        <v>43411.583333333336</v>
      </c>
      <c r="K16" s="1">
        <v>43411.895833333336</v>
      </c>
      <c r="L16">
        <v>7.5</v>
      </c>
      <c r="M16">
        <v>6.8666666666666698</v>
      </c>
      <c r="N16">
        <v>5.75</v>
      </c>
      <c r="O16">
        <v>67</v>
      </c>
      <c r="P16">
        <v>38</v>
      </c>
      <c r="Q16">
        <v>17</v>
      </c>
      <c r="R16">
        <v>0.83737864077669899</v>
      </c>
      <c r="S16">
        <v>0.99888517279821598</v>
      </c>
      <c r="T16">
        <v>0.96205357142857095</v>
      </c>
      <c r="U16">
        <v>0.80470500373413001</v>
      </c>
    </row>
    <row r="17" spans="1:21" hidden="1" x14ac:dyDescent="0.25">
      <c r="A17">
        <v>903</v>
      </c>
      <c r="B17">
        <v>22</v>
      </c>
      <c r="C17" t="s">
        <v>72</v>
      </c>
      <c r="D17" t="s">
        <v>21</v>
      </c>
      <c r="E17" t="s">
        <v>25</v>
      </c>
      <c r="F17">
        <v>903</v>
      </c>
      <c r="G17" t="s">
        <v>70</v>
      </c>
      <c r="H17">
        <v>78</v>
      </c>
      <c r="I17">
        <v>103</v>
      </c>
      <c r="J17" s="1">
        <v>43411.583333333336</v>
      </c>
      <c r="K17" s="1">
        <v>43411.661793981482</v>
      </c>
      <c r="L17">
        <v>1.8830555555555599</v>
      </c>
      <c r="M17">
        <v>1.74138888888889</v>
      </c>
      <c r="N17">
        <v>1.3247222222222199</v>
      </c>
      <c r="O17">
        <v>25</v>
      </c>
      <c r="P17">
        <v>8.5</v>
      </c>
      <c r="Q17">
        <v>2</v>
      </c>
      <c r="R17">
        <v>0.76072738873823598</v>
      </c>
      <c r="S17">
        <v>0.99682242689162404</v>
      </c>
      <c r="T17">
        <v>0.980582524271845</v>
      </c>
      <c r="U17">
        <v>0.74358565345963701</v>
      </c>
    </row>
    <row r="18" spans="1:21" hidden="1" x14ac:dyDescent="0.25">
      <c r="A18">
        <v>903</v>
      </c>
      <c r="B18">
        <v>22</v>
      </c>
      <c r="C18" t="s">
        <v>72</v>
      </c>
      <c r="D18" t="s">
        <v>21</v>
      </c>
      <c r="E18" t="s">
        <v>25</v>
      </c>
      <c r="F18">
        <v>903</v>
      </c>
      <c r="G18" t="s">
        <v>69</v>
      </c>
      <c r="H18">
        <v>78</v>
      </c>
      <c r="I18">
        <v>200</v>
      </c>
      <c r="J18" s="1">
        <v>43411.661793981482</v>
      </c>
      <c r="K18" s="1">
        <v>43411.809502314813</v>
      </c>
      <c r="L18">
        <v>3.5449999999999999</v>
      </c>
      <c r="M18">
        <v>3.0449999999999999</v>
      </c>
      <c r="N18">
        <v>2.57833333333333</v>
      </c>
      <c r="O18">
        <v>28</v>
      </c>
      <c r="P18">
        <v>30</v>
      </c>
      <c r="Q18">
        <v>2</v>
      </c>
      <c r="R18">
        <v>0.84674329501915702</v>
      </c>
      <c r="S18">
        <v>0.99448063248968199</v>
      </c>
      <c r="T18">
        <v>0.99</v>
      </c>
      <c r="U18">
        <v>0.83364910951117899</v>
      </c>
    </row>
    <row r="19" spans="1:21" hidden="1" x14ac:dyDescent="0.25">
      <c r="A19">
        <v>903</v>
      </c>
      <c r="B19">
        <v>22</v>
      </c>
      <c r="C19" t="s">
        <v>72</v>
      </c>
      <c r="D19" t="s">
        <v>21</v>
      </c>
      <c r="E19" t="s">
        <v>25</v>
      </c>
      <c r="F19">
        <v>903</v>
      </c>
      <c r="G19" t="s">
        <v>70</v>
      </c>
      <c r="H19">
        <v>78</v>
      </c>
      <c r="I19">
        <v>140</v>
      </c>
      <c r="J19" s="1">
        <v>43411.809502314813</v>
      </c>
      <c r="K19" s="1">
        <v>43411.895833333336</v>
      </c>
      <c r="L19">
        <v>2.0719444444444401</v>
      </c>
      <c r="M19">
        <v>2.0719444444444401</v>
      </c>
      <c r="N19">
        <v>1.7819444444444399</v>
      </c>
      <c r="O19">
        <v>17.399999999999999</v>
      </c>
      <c r="P19">
        <v>0</v>
      </c>
      <c r="Q19">
        <v>0</v>
      </c>
      <c r="R19">
        <v>0.86003485721946604</v>
      </c>
      <c r="S19">
        <v>1.0072546315726401</v>
      </c>
      <c r="T19">
        <v>1</v>
      </c>
      <c r="U19">
        <v>0.86627409324821802</v>
      </c>
    </row>
    <row r="20" spans="1:21" hidden="1" x14ac:dyDescent="0.25">
      <c r="A20">
        <v>915</v>
      </c>
      <c r="B20">
        <v>23</v>
      </c>
      <c r="C20" t="s">
        <v>72</v>
      </c>
      <c r="D20" t="s">
        <v>21</v>
      </c>
      <c r="E20" t="s">
        <v>65</v>
      </c>
      <c r="F20">
        <v>915</v>
      </c>
      <c r="G20" t="s">
        <v>66</v>
      </c>
      <c r="H20">
        <v>78</v>
      </c>
      <c r="I20">
        <v>472</v>
      </c>
      <c r="J20" s="1">
        <v>43411.583333333336</v>
      </c>
      <c r="K20" s="1">
        <v>43411.895833333336</v>
      </c>
      <c r="L20">
        <v>7.5</v>
      </c>
      <c r="M20">
        <v>6.6283333333333303</v>
      </c>
      <c r="N20">
        <v>6.0833333333333304</v>
      </c>
      <c r="O20">
        <v>32.700000000000003</v>
      </c>
      <c r="P20">
        <v>52.3</v>
      </c>
      <c r="Q20">
        <v>0</v>
      </c>
      <c r="R20">
        <v>0.91777721900930398</v>
      </c>
      <c r="S20">
        <v>0.99473129610115896</v>
      </c>
      <c r="T20">
        <v>1</v>
      </c>
      <c r="U20">
        <v>0.91294172259724204</v>
      </c>
    </row>
    <row r="21" spans="1:21" hidden="1" x14ac:dyDescent="0.25">
      <c r="A21">
        <v>909</v>
      </c>
      <c r="B21">
        <v>37</v>
      </c>
      <c r="C21" t="s">
        <v>72</v>
      </c>
      <c r="D21" t="s">
        <v>21</v>
      </c>
      <c r="E21" t="s">
        <v>49</v>
      </c>
      <c r="F21">
        <v>909</v>
      </c>
      <c r="G21" t="s">
        <v>71</v>
      </c>
      <c r="H21">
        <v>141</v>
      </c>
      <c r="I21">
        <v>347</v>
      </c>
      <c r="J21" s="1">
        <v>43411.583333333336</v>
      </c>
      <c r="K21" s="1">
        <v>43411.687222222223</v>
      </c>
      <c r="L21">
        <v>2.4933333333333301</v>
      </c>
      <c r="M21">
        <v>2.4933333333333301</v>
      </c>
      <c r="N21">
        <v>2.4516666666666702</v>
      </c>
      <c r="O21">
        <v>2.5</v>
      </c>
      <c r="P21">
        <v>0</v>
      </c>
      <c r="Q21">
        <v>0</v>
      </c>
      <c r="R21">
        <v>0.98328877005347604</v>
      </c>
      <c r="S21">
        <v>1.00380404125143</v>
      </c>
      <c r="T21">
        <v>1</v>
      </c>
      <c r="U21">
        <v>0.98702924109682599</v>
      </c>
    </row>
    <row r="22" spans="1:21" hidden="1" x14ac:dyDescent="0.25">
      <c r="A22">
        <v>909</v>
      </c>
      <c r="B22">
        <v>37</v>
      </c>
      <c r="C22" t="s">
        <v>72</v>
      </c>
      <c r="D22" t="s">
        <v>21</v>
      </c>
      <c r="E22" t="s">
        <v>49</v>
      </c>
      <c r="F22">
        <v>909</v>
      </c>
      <c r="G22" t="s">
        <v>50</v>
      </c>
      <c r="H22">
        <v>141</v>
      </c>
      <c r="I22">
        <v>619</v>
      </c>
      <c r="J22" s="1">
        <v>43411.687222222223</v>
      </c>
      <c r="K22" s="1">
        <v>43411.895833333336</v>
      </c>
      <c r="L22">
        <v>5.0066666666666704</v>
      </c>
      <c r="M22">
        <v>4.5066666666666704</v>
      </c>
      <c r="N22">
        <v>4.3983333333333299</v>
      </c>
      <c r="O22">
        <v>6.5</v>
      </c>
      <c r="P22">
        <v>30</v>
      </c>
      <c r="Q22">
        <v>0</v>
      </c>
      <c r="R22">
        <v>0.97596153846153799</v>
      </c>
      <c r="S22">
        <v>0.99812146767392596</v>
      </c>
      <c r="T22">
        <v>1</v>
      </c>
      <c r="U22">
        <v>0.97412816316253303</v>
      </c>
    </row>
    <row r="23" spans="1:21" hidden="1" x14ac:dyDescent="0.25">
      <c r="A23">
        <v>907</v>
      </c>
      <c r="B23">
        <v>42</v>
      </c>
      <c r="C23" t="s">
        <v>72</v>
      </c>
      <c r="D23" t="s">
        <v>21</v>
      </c>
      <c r="E23" t="s">
        <v>51</v>
      </c>
      <c r="F23">
        <v>907</v>
      </c>
      <c r="G23" t="s">
        <v>52</v>
      </c>
      <c r="H23">
        <v>156</v>
      </c>
      <c r="I23">
        <v>808</v>
      </c>
      <c r="J23" s="1">
        <v>43411.583333333336</v>
      </c>
      <c r="K23" s="1">
        <v>43411.895833333336</v>
      </c>
      <c r="L23">
        <v>7.5</v>
      </c>
      <c r="M23">
        <v>7</v>
      </c>
      <c r="N23">
        <v>5.1966666666666699</v>
      </c>
      <c r="O23">
        <v>108.2</v>
      </c>
      <c r="P23">
        <v>30</v>
      </c>
      <c r="Q23">
        <v>7</v>
      </c>
      <c r="R23">
        <v>0.74238095238095203</v>
      </c>
      <c r="S23">
        <v>0.99669413332017598</v>
      </c>
      <c r="T23">
        <v>0.991336633663366</v>
      </c>
      <c r="U23">
        <v>0.73351648351648402</v>
      </c>
    </row>
    <row r="24" spans="1:21" hidden="1" x14ac:dyDescent="0.25">
      <c r="A24">
        <v>906</v>
      </c>
      <c r="B24">
        <v>43</v>
      </c>
      <c r="C24" t="s">
        <v>72</v>
      </c>
      <c r="D24" t="s">
        <v>21</v>
      </c>
      <c r="E24" t="s">
        <v>47</v>
      </c>
      <c r="F24">
        <v>906</v>
      </c>
      <c r="G24" t="s">
        <v>48</v>
      </c>
      <c r="H24">
        <v>156</v>
      </c>
      <c r="I24">
        <v>802</v>
      </c>
      <c r="J24" s="1">
        <v>43411.583333333336</v>
      </c>
      <c r="K24" s="1">
        <v>43411.895833333336</v>
      </c>
      <c r="L24">
        <v>7.5</v>
      </c>
      <c r="M24">
        <v>7</v>
      </c>
      <c r="N24">
        <v>5.1749999999999998</v>
      </c>
      <c r="O24">
        <v>109.5</v>
      </c>
      <c r="P24">
        <v>30</v>
      </c>
      <c r="Q24">
        <v>69</v>
      </c>
      <c r="R24">
        <v>0.73928571428571399</v>
      </c>
      <c r="S24">
        <v>0.99343490647838495</v>
      </c>
      <c r="T24">
        <v>0.91396508728179504</v>
      </c>
      <c r="U24">
        <v>0.67124542124542097</v>
      </c>
    </row>
    <row r="25" spans="1:21" hidden="1" x14ac:dyDescent="0.25">
      <c r="A25">
        <v>911</v>
      </c>
      <c r="B25">
        <v>44</v>
      </c>
      <c r="C25" t="s">
        <v>72</v>
      </c>
      <c r="D25" t="s">
        <v>21</v>
      </c>
      <c r="E25" t="s">
        <v>63</v>
      </c>
      <c r="F25">
        <v>911</v>
      </c>
      <c r="G25" t="s">
        <v>64</v>
      </c>
      <c r="H25">
        <v>156</v>
      </c>
      <c r="I25">
        <v>956</v>
      </c>
      <c r="J25" s="1">
        <v>43411.583333333336</v>
      </c>
      <c r="K25" s="1">
        <v>43411.895833333336</v>
      </c>
      <c r="L25">
        <v>7.5</v>
      </c>
      <c r="M25">
        <v>6.7733333333333299</v>
      </c>
      <c r="N25">
        <v>6.1383333333333301</v>
      </c>
      <c r="O25">
        <v>38.1</v>
      </c>
      <c r="P25">
        <v>43.6</v>
      </c>
      <c r="Q25">
        <v>0</v>
      </c>
      <c r="R25">
        <v>0.90625</v>
      </c>
      <c r="S25">
        <v>0.99835000731009405</v>
      </c>
      <c r="T25">
        <v>1</v>
      </c>
      <c r="U25">
        <v>0.90475469412477305</v>
      </c>
    </row>
    <row r="26" spans="1:21" hidden="1" x14ac:dyDescent="0.25">
      <c r="A26">
        <v>912</v>
      </c>
      <c r="B26">
        <v>45</v>
      </c>
      <c r="C26" t="s">
        <v>72</v>
      </c>
      <c r="D26" t="s">
        <v>21</v>
      </c>
      <c r="E26" t="s">
        <v>67</v>
      </c>
      <c r="F26">
        <v>912</v>
      </c>
      <c r="G26" t="s">
        <v>68</v>
      </c>
      <c r="H26">
        <v>156</v>
      </c>
      <c r="I26">
        <v>856</v>
      </c>
      <c r="J26" s="1">
        <v>43411.583333333336</v>
      </c>
      <c r="K26" s="1">
        <v>43411.895833333336</v>
      </c>
      <c r="L26">
        <v>7.5</v>
      </c>
      <c r="M26">
        <v>7</v>
      </c>
      <c r="N26">
        <v>5.4866666666666699</v>
      </c>
      <c r="O26">
        <v>90.8</v>
      </c>
      <c r="P26">
        <v>30</v>
      </c>
      <c r="Q26">
        <v>0</v>
      </c>
      <c r="R26">
        <v>0.78380952380952396</v>
      </c>
      <c r="S26">
        <v>1.0000934666791299</v>
      </c>
      <c r="T26">
        <v>1</v>
      </c>
      <c r="U26">
        <v>0.78388278388278398</v>
      </c>
    </row>
    <row r="27" spans="1:21" hidden="1" x14ac:dyDescent="0.25">
      <c r="A27">
        <v>913</v>
      </c>
      <c r="B27">
        <v>46</v>
      </c>
      <c r="C27" t="s">
        <v>72</v>
      </c>
      <c r="D27" t="s">
        <v>21</v>
      </c>
      <c r="E27" t="s">
        <v>56</v>
      </c>
      <c r="F27">
        <v>913</v>
      </c>
      <c r="G27" t="s">
        <v>57</v>
      </c>
      <c r="H27">
        <v>156</v>
      </c>
      <c r="I27">
        <v>902</v>
      </c>
      <c r="J27" s="1">
        <v>43411.583333333336</v>
      </c>
      <c r="K27" s="1">
        <v>43411.895833333336</v>
      </c>
      <c r="L27">
        <v>7.5</v>
      </c>
      <c r="M27">
        <v>7</v>
      </c>
      <c r="N27">
        <v>5.79</v>
      </c>
      <c r="O27">
        <v>72.599999999999994</v>
      </c>
      <c r="P27">
        <v>30</v>
      </c>
      <c r="Q27">
        <v>0</v>
      </c>
      <c r="R27">
        <v>0.82714285714285696</v>
      </c>
      <c r="S27">
        <v>0.998627164430273</v>
      </c>
      <c r="T27">
        <v>1</v>
      </c>
      <c r="U27">
        <v>0.82600732600732596</v>
      </c>
    </row>
    <row r="28" spans="1:21" hidden="1" x14ac:dyDescent="0.25">
      <c r="A28">
        <v>905</v>
      </c>
      <c r="B28">
        <v>48</v>
      </c>
      <c r="C28" t="s">
        <v>72</v>
      </c>
      <c r="D28" t="s">
        <v>21</v>
      </c>
      <c r="E28" t="s">
        <v>53</v>
      </c>
      <c r="F28">
        <v>905</v>
      </c>
      <c r="G28" t="s">
        <v>54</v>
      </c>
      <c r="H28">
        <v>63</v>
      </c>
      <c r="I28">
        <v>406</v>
      </c>
      <c r="J28" s="1">
        <v>43411.583333333336</v>
      </c>
      <c r="K28" s="1">
        <v>43411.895833333336</v>
      </c>
      <c r="L28">
        <v>7.5</v>
      </c>
      <c r="M28">
        <v>6.8254666666666699</v>
      </c>
      <c r="N28">
        <v>6.4421333333333299</v>
      </c>
      <c r="O28">
        <v>23</v>
      </c>
      <c r="P28">
        <v>40.472000000000001</v>
      </c>
      <c r="Q28">
        <v>1</v>
      </c>
      <c r="R28">
        <v>0.94383778398546603</v>
      </c>
      <c r="S28">
        <v>1.00035874934459</v>
      </c>
      <c r="T28">
        <v>0.99753694581280805</v>
      </c>
      <c r="U28">
        <v>0.94185082757292704</v>
      </c>
    </row>
    <row r="29" spans="1:21" hidden="1" x14ac:dyDescent="0.25">
      <c r="A29">
        <v>916</v>
      </c>
      <c r="B29">
        <v>80</v>
      </c>
      <c r="C29" t="s">
        <v>72</v>
      </c>
      <c r="D29" t="s">
        <v>21</v>
      </c>
      <c r="E29" t="s">
        <v>58</v>
      </c>
      <c r="F29">
        <v>916</v>
      </c>
      <c r="G29" t="s">
        <v>59</v>
      </c>
      <c r="H29">
        <v>144</v>
      </c>
      <c r="I29">
        <v>340</v>
      </c>
      <c r="J29" s="1">
        <v>43411.583333333336</v>
      </c>
      <c r="K29" s="1">
        <v>43411.895833333336</v>
      </c>
      <c r="L29">
        <v>7.5</v>
      </c>
      <c r="M29">
        <v>7</v>
      </c>
      <c r="N29">
        <v>2.3833333333333302</v>
      </c>
      <c r="O29">
        <v>277</v>
      </c>
      <c r="P29">
        <v>30</v>
      </c>
      <c r="Q29">
        <v>0</v>
      </c>
      <c r="R29">
        <v>0.34047619047619099</v>
      </c>
      <c r="S29">
        <v>0.99067599067599099</v>
      </c>
      <c r="T29">
        <v>1</v>
      </c>
      <c r="U29">
        <v>0.33730158730158699</v>
      </c>
    </row>
    <row r="30" spans="1:21" x14ac:dyDescent="0.25">
      <c r="A30">
        <v>919</v>
      </c>
      <c r="B30">
        <v>21</v>
      </c>
      <c r="C30" t="s">
        <v>72</v>
      </c>
      <c r="D30" t="s">
        <v>26</v>
      </c>
      <c r="E30" t="s">
        <v>22</v>
      </c>
      <c r="F30">
        <v>919</v>
      </c>
      <c r="G30" t="s">
        <v>23</v>
      </c>
      <c r="H30">
        <v>78</v>
      </c>
      <c r="I30">
        <v>202</v>
      </c>
      <c r="J30" s="1">
        <v>43411.895833333336</v>
      </c>
      <c r="K30" s="1">
        <v>43412.25</v>
      </c>
      <c r="L30">
        <v>8.5</v>
      </c>
      <c r="M30">
        <v>3.7666666666666702</v>
      </c>
      <c r="N30">
        <v>2.7166666666666699</v>
      </c>
      <c r="O30">
        <v>63</v>
      </c>
      <c r="P30">
        <v>284</v>
      </c>
      <c r="Q30">
        <v>8</v>
      </c>
      <c r="R30">
        <v>0.72123893805309702</v>
      </c>
      <c r="S30">
        <v>0.95327984898536999</v>
      </c>
      <c r="T30">
        <v>0.96039603960396003</v>
      </c>
      <c r="U30">
        <v>0.66031313818924398</v>
      </c>
    </row>
    <row r="31" spans="1:21" hidden="1" x14ac:dyDescent="0.25">
      <c r="A31">
        <v>917</v>
      </c>
      <c r="B31">
        <v>23</v>
      </c>
      <c r="C31" t="s">
        <v>72</v>
      </c>
      <c r="D31" t="s">
        <v>26</v>
      </c>
      <c r="E31" t="s">
        <v>65</v>
      </c>
      <c r="F31">
        <v>917</v>
      </c>
      <c r="G31" t="s">
        <v>66</v>
      </c>
      <c r="H31">
        <v>78</v>
      </c>
      <c r="I31">
        <v>225</v>
      </c>
      <c r="J31" s="1">
        <v>43411.895833333336</v>
      </c>
      <c r="K31" s="1">
        <v>43412.25</v>
      </c>
      <c r="L31">
        <v>8.5</v>
      </c>
      <c r="M31">
        <v>3.0633333333333299</v>
      </c>
      <c r="N31">
        <v>2.8916666666666702</v>
      </c>
      <c r="O31">
        <v>10.3</v>
      </c>
      <c r="P31">
        <v>326.2</v>
      </c>
      <c r="Q31">
        <v>0</v>
      </c>
      <c r="R31">
        <v>0.94396082698585404</v>
      </c>
      <c r="S31">
        <v>0.99756151629350498</v>
      </c>
      <c r="T31">
        <v>1</v>
      </c>
      <c r="U31">
        <v>0.941658993889679</v>
      </c>
    </row>
    <row r="32" spans="1:21" hidden="1" x14ac:dyDescent="0.25">
      <c r="A32">
        <v>918</v>
      </c>
      <c r="B32">
        <v>48</v>
      </c>
      <c r="C32" t="s">
        <v>72</v>
      </c>
      <c r="D32" t="s">
        <v>26</v>
      </c>
      <c r="E32" t="s">
        <v>53</v>
      </c>
      <c r="F32">
        <v>918</v>
      </c>
      <c r="G32" t="s">
        <v>54</v>
      </c>
      <c r="H32">
        <v>63</v>
      </c>
      <c r="I32">
        <v>437</v>
      </c>
      <c r="J32" s="1">
        <v>43411.895833333336</v>
      </c>
      <c r="K32" s="1">
        <v>43412.25</v>
      </c>
      <c r="L32">
        <v>8.5</v>
      </c>
      <c r="M32">
        <v>7.85666666666667</v>
      </c>
      <c r="N32">
        <v>7.0716666666666699</v>
      </c>
      <c r="O32">
        <v>47.1</v>
      </c>
      <c r="P32">
        <v>38.6</v>
      </c>
      <c r="Q32">
        <v>1</v>
      </c>
      <c r="R32">
        <v>0.90008485362749302</v>
      </c>
      <c r="S32">
        <v>0.98088728774564304</v>
      </c>
      <c r="T32">
        <v>0.99771167048054898</v>
      </c>
      <c r="U32">
        <v>0.88086146635149598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-0.249977111117893"/>
  </sheetPr>
  <dimension ref="A2:X21"/>
  <sheetViews>
    <sheetView tabSelected="1" workbookViewId="0">
      <selection activeCell="R5" sqref="R5"/>
    </sheetView>
  </sheetViews>
  <sheetFormatPr defaultRowHeight="15" x14ac:dyDescent="0.25"/>
  <cols>
    <col min="1" max="1" width="19.5703125" customWidth="1"/>
    <col min="2" max="2" width="27" style="18" customWidth="1"/>
    <col min="3" max="3" width="10.5703125" customWidth="1"/>
    <col min="4" max="4" width="10" customWidth="1"/>
    <col min="5" max="5" width="14" customWidth="1"/>
    <col min="9" max="9" width="14.140625" customWidth="1"/>
    <col min="12" max="13" width="9.140625" style="5"/>
    <col min="14" max="14" width="9.140625" style="5" bestFit="1" customWidth="1"/>
    <col min="15" max="15" width="9.140625" style="5"/>
    <col min="16" max="16" width="9.140625" style="6"/>
    <col min="17" max="17" width="6.28515625" customWidth="1"/>
    <col min="18" max="18" width="21.140625" customWidth="1"/>
    <col min="19" max="21" width="9.140625" style="4"/>
    <col min="22" max="22" width="4.5703125" style="4" bestFit="1" customWidth="1"/>
    <col min="23" max="23" width="9.140625" style="4"/>
    <col min="24" max="24" width="9.140625" style="7"/>
  </cols>
  <sheetData>
    <row r="2" spans="1:24" x14ac:dyDescent="0.25">
      <c r="A2" t="s">
        <v>33</v>
      </c>
      <c r="B2" s="19" t="s">
        <v>55</v>
      </c>
      <c r="P2" s="5"/>
    </row>
    <row r="4" spans="1:24" x14ac:dyDescent="0.25">
      <c r="A4" s="11" t="s">
        <v>27</v>
      </c>
      <c r="B4" s="20" t="s">
        <v>28</v>
      </c>
      <c r="C4" s="12" t="s">
        <v>35</v>
      </c>
      <c r="D4" s="12" t="s">
        <v>29</v>
      </c>
      <c r="E4" s="12" t="s">
        <v>40</v>
      </c>
      <c r="F4" s="12" t="s">
        <v>11</v>
      </c>
      <c r="G4" s="12" t="s">
        <v>38</v>
      </c>
      <c r="H4" s="12" t="s">
        <v>39</v>
      </c>
      <c r="I4" s="12" t="s">
        <v>34</v>
      </c>
      <c r="J4" s="12" t="s">
        <v>30</v>
      </c>
      <c r="K4" s="12" t="s">
        <v>31</v>
      </c>
      <c r="L4" s="13" t="s">
        <v>36</v>
      </c>
      <c r="M4" s="13" t="s">
        <v>37</v>
      </c>
      <c r="N4" s="13" t="s">
        <v>32</v>
      </c>
      <c r="O4" s="13" t="s">
        <v>20</v>
      </c>
      <c r="P4" s="14" t="s">
        <v>7</v>
      </c>
      <c r="R4" s="8" t="s">
        <v>27</v>
      </c>
      <c r="S4" s="9" t="s">
        <v>32</v>
      </c>
      <c r="T4" s="10" t="s">
        <v>37</v>
      </c>
      <c r="U4" s="10" t="s">
        <v>36</v>
      </c>
      <c r="V4" s="9" t="s">
        <v>20</v>
      </c>
      <c r="W4" s="9" t="s">
        <v>34</v>
      </c>
      <c r="X4" s="15" t="s">
        <v>7</v>
      </c>
    </row>
    <row r="5" spans="1:24" x14ac:dyDescent="0.25">
      <c r="A5" t="s">
        <v>56</v>
      </c>
      <c r="B5" s="18" t="s">
        <v>57</v>
      </c>
      <c r="C5">
        <v>156</v>
      </c>
      <c r="D5">
        <v>0.38461538461537997</v>
      </c>
      <c r="E5">
        <v>1832</v>
      </c>
      <c r="F5">
        <v>15.5</v>
      </c>
      <c r="G5">
        <v>14.5</v>
      </c>
      <c r="H5">
        <v>11.75133333333333</v>
      </c>
      <c r="I5">
        <v>164.92</v>
      </c>
      <c r="J5">
        <v>0</v>
      </c>
      <c r="L5" s="5">
        <f>H5/G5</f>
        <v>0.81043678160919519</v>
      </c>
      <c r="M5" s="5">
        <f>(D5*E5)/(H5*60)</f>
        <v>0.99934104586057793</v>
      </c>
      <c r="N5" s="5">
        <f>(E5- (J5+K5))/E5</f>
        <v>1</v>
      </c>
      <c r="O5" s="5">
        <f>L5*M5*N5</f>
        <v>0.80990274093721393</v>
      </c>
      <c r="P5" s="6">
        <f>E5/G5</f>
        <v>126.34482758620689</v>
      </c>
      <c r="R5" t="s">
        <v>56</v>
      </c>
      <c r="S5" s="4">
        <f>(SUM(E5:E5)-SUM(J5:K5))/SUM(E5:E5)</f>
        <v>1</v>
      </c>
      <c r="T5" s="4">
        <f>(AVERAGE(D5:D5)*SUM(E5:E5))/(SUM(H5:H5)*60)</f>
        <v>0.99934104586057793</v>
      </c>
      <c r="U5" s="4">
        <f>SUM(H5:H5)/SUM(G5:G5)</f>
        <v>0.81043678160919519</v>
      </c>
      <c r="V5" s="4">
        <f>S5*T5*U5</f>
        <v>0.80990274093721393</v>
      </c>
      <c r="W5" s="4">
        <f xml:space="preserve"> 1 - U5</f>
        <v>0.18956321839080481</v>
      </c>
      <c r="X5" s="7">
        <f>(SUM(E5:E5)/SUM(G5:G5))</f>
        <v>126.34482758620689</v>
      </c>
    </row>
    <row r="6" spans="1:24" x14ac:dyDescent="0.25">
      <c r="A6" t="s">
        <v>58</v>
      </c>
      <c r="B6" s="18" t="s">
        <v>59</v>
      </c>
      <c r="C6">
        <v>144</v>
      </c>
      <c r="D6">
        <v>0.41666666666666002</v>
      </c>
      <c r="E6">
        <v>340</v>
      </c>
      <c r="F6">
        <v>7.5</v>
      </c>
      <c r="G6">
        <v>7</v>
      </c>
      <c r="H6">
        <v>2.3833333333333302</v>
      </c>
      <c r="I6">
        <v>277</v>
      </c>
      <c r="J6">
        <v>0</v>
      </c>
      <c r="L6" s="5">
        <f>H6/G6</f>
        <v>0.34047619047619004</v>
      </c>
      <c r="M6" s="5">
        <f>(D6*E6)/(H6*60)</f>
        <v>0.99067599067597634</v>
      </c>
      <c r="N6" s="5">
        <f>(E6- (J6+K6))/E6</f>
        <v>1</v>
      </c>
      <c r="O6" s="5">
        <f>L6*M6*N6</f>
        <v>0.337301587301582</v>
      </c>
      <c r="P6" s="6">
        <f>E6/G6</f>
        <v>48.571428571428569</v>
      </c>
      <c r="R6" t="s">
        <v>58</v>
      </c>
      <c r="S6" s="4">
        <f>(SUM(E6:E6)-SUM(J6:K6))/SUM(E6:E6)</f>
        <v>1</v>
      </c>
      <c r="T6" s="4">
        <f>(AVERAGE(D6:D6)*SUM(E6:E6))/(SUM(H6:H6)*60)</f>
        <v>0.99067599067597634</v>
      </c>
      <c r="U6" s="4">
        <f>SUM(H6:H6)/SUM(G6:G6)</f>
        <v>0.34047619047619004</v>
      </c>
      <c r="V6" s="4">
        <f>S6*T6*U6</f>
        <v>0.337301587301582</v>
      </c>
      <c r="W6" s="4">
        <f xml:space="preserve"> 1 - U6</f>
        <v>0.65952380952380996</v>
      </c>
      <c r="X6" s="7">
        <f>(SUM(E6:E6)/SUM(G6:G6))</f>
        <v>48.571428571428569</v>
      </c>
    </row>
    <row r="7" spans="1:24" x14ac:dyDescent="0.25">
      <c r="A7" t="s">
        <v>60</v>
      </c>
      <c r="B7" s="18" t="s">
        <v>61</v>
      </c>
      <c r="C7">
        <v>78</v>
      </c>
      <c r="D7">
        <v>0.76923076923075995</v>
      </c>
      <c r="E7">
        <v>34</v>
      </c>
      <c r="F7">
        <v>1.30083333333333</v>
      </c>
      <c r="G7">
        <v>0.80083333333333295</v>
      </c>
      <c r="H7">
        <v>0.30083333333333301</v>
      </c>
      <c r="I7">
        <v>30</v>
      </c>
      <c r="J7">
        <v>1</v>
      </c>
      <c r="L7" s="5">
        <f>H7/G7</f>
        <v>0.37565036420395398</v>
      </c>
      <c r="M7" s="5">
        <f>(D7*E7)/(H7*60)</f>
        <v>1.4489665459194385</v>
      </c>
      <c r="N7" s="5">
        <f>(E7- (J7+K7))/E7</f>
        <v>0.97058823529411764</v>
      </c>
      <c r="O7" s="5">
        <f>L7*M7*N7</f>
        <v>0.52829584567357102</v>
      </c>
      <c r="P7" s="6">
        <f>E7/G7</f>
        <v>42.455775234131131</v>
      </c>
      <c r="R7" t="s">
        <v>60</v>
      </c>
      <c r="S7" s="4">
        <f>(SUM(E7:E8)-SUM(J7:K8))/SUM(E7:E8)</f>
        <v>0.99762470308788598</v>
      </c>
      <c r="T7" s="4">
        <f>(AVERAGE(D7:D8)*SUM(E7:E8))/(SUM(H7:H8)*60)</f>
        <v>0.99553075267798929</v>
      </c>
      <c r="U7" s="4">
        <f>SUM(H7:H8)/SUM(G7:G8)</f>
        <v>0.8019228398866014</v>
      </c>
      <c r="V7" s="4">
        <f>S7*T7*U7</f>
        <v>0.79644255658059659</v>
      </c>
      <c r="W7" s="4">
        <f xml:space="preserve"> 1 - U7</f>
        <v>0.1980771601133986</v>
      </c>
      <c r="X7" s="7">
        <f>(SUM(E7:E8)/SUM(G7:G8))</f>
        <v>62.270430173795113</v>
      </c>
    </row>
    <row r="8" spans="1:24" x14ac:dyDescent="0.25">
      <c r="A8" t="s">
        <v>60</v>
      </c>
      <c r="B8" s="18" t="s">
        <v>62</v>
      </c>
      <c r="C8">
        <v>78</v>
      </c>
      <c r="D8">
        <v>0.76923076923075995</v>
      </c>
      <c r="E8">
        <v>808</v>
      </c>
      <c r="F8">
        <v>14.19916666666667</v>
      </c>
      <c r="G8">
        <v>12.72083333333334</v>
      </c>
      <c r="H8">
        <v>10.5425</v>
      </c>
      <c r="I8">
        <v>130.69999999999999</v>
      </c>
      <c r="J8">
        <v>1</v>
      </c>
      <c r="L8" s="5">
        <f>H8/G8</f>
        <v>0.82875859810022889</v>
      </c>
      <c r="M8" s="5">
        <f>(D8*E8)/(H8*60)</f>
        <v>0.9825918291652106</v>
      </c>
      <c r="N8" s="5">
        <f>(E8- (J8+K8))/E8</f>
        <v>0.99876237623762376</v>
      </c>
      <c r="O8" s="5">
        <f>L8*M8*N8</f>
        <v>0.813323590919388</v>
      </c>
      <c r="P8" s="6">
        <f>E8/G8</f>
        <v>63.517851293809336</v>
      </c>
      <c r="R8" t="s">
        <v>63</v>
      </c>
      <c r="S8" s="4">
        <f>(SUM(E9:E9)-SUM(J9:K9))/SUM(E9:E9)</f>
        <v>1</v>
      </c>
      <c r="T8" s="4">
        <f>(AVERAGE(D9:D9)*SUM(E9:E9))/(SUM(H9:H9)*60)</f>
        <v>0.99918790283616066</v>
      </c>
      <c r="U8" s="4">
        <f>SUM(H9:H9)/SUM(G9:G9)</f>
        <v>0.89713463613475597</v>
      </c>
      <c r="V8" s="4">
        <f>S8*T8*U8</f>
        <v>0.89640607564116892</v>
      </c>
      <c r="W8" s="4">
        <f xml:space="preserve"> 1 - U8</f>
        <v>0.10286536386524403</v>
      </c>
      <c r="X8" s="7">
        <f>(SUM(E9:E9)/SUM(G9:G9))</f>
        <v>139.83934780002403</v>
      </c>
    </row>
    <row r="9" spans="1:24" x14ac:dyDescent="0.25">
      <c r="A9" t="s">
        <v>63</v>
      </c>
      <c r="B9" s="18" t="s">
        <v>64</v>
      </c>
      <c r="C9">
        <v>156</v>
      </c>
      <c r="D9">
        <v>0.38461538461537997</v>
      </c>
      <c r="E9">
        <v>1944</v>
      </c>
      <c r="F9">
        <v>15.5</v>
      </c>
      <c r="G9">
        <v>13.90166666666666</v>
      </c>
      <c r="H9">
        <v>12.47166666666666</v>
      </c>
      <c r="I9">
        <v>85.800000000000011</v>
      </c>
      <c r="J9">
        <v>0</v>
      </c>
      <c r="L9" s="5">
        <f>H9/G9</f>
        <v>0.89713463613475597</v>
      </c>
      <c r="M9" s="5">
        <f>(D9*E9)/(H9*60)</f>
        <v>0.99918790283616066</v>
      </c>
      <c r="N9" s="5">
        <f>(E9- (J9+K9))/E9</f>
        <v>1</v>
      </c>
      <c r="O9" s="5">
        <f>L9*M9*N9</f>
        <v>0.89640607564116892</v>
      </c>
      <c r="P9" s="6">
        <f>E9/G9</f>
        <v>139.83934780002403</v>
      </c>
      <c r="R9" t="s">
        <v>65</v>
      </c>
      <c r="S9" s="4">
        <f>(SUM(E10:E10)-SUM(J10:K10))/SUM(E10:E10)</f>
        <v>1</v>
      </c>
      <c r="T9" s="4">
        <f>(AVERAGE(D10:D10)*SUM(E10:E10))/(SUM(H10:H10)*60)</f>
        <v>0.99732389118610498</v>
      </c>
      <c r="U9" s="4">
        <f>SUM(H10:H10)/SUM(G10:G10)</f>
        <v>0.93360090650118155</v>
      </c>
      <c r="V9" s="4">
        <f>S9*T9*U9</f>
        <v>0.93110248888663338</v>
      </c>
      <c r="W9" s="4">
        <f xml:space="preserve"> 1 - U9</f>
        <v>6.6399093498818451E-2</v>
      </c>
      <c r="X9" s="7">
        <f>(SUM(E10:E10)/SUM(G10:G10))</f>
        <v>72.625994133158287</v>
      </c>
    </row>
    <row r="10" spans="1:24" x14ac:dyDescent="0.25">
      <c r="A10" t="s">
        <v>65</v>
      </c>
      <c r="B10" s="18" t="s">
        <v>66</v>
      </c>
      <c r="C10">
        <v>78</v>
      </c>
      <c r="D10">
        <v>0.76923076923075995</v>
      </c>
      <c r="E10">
        <v>1143</v>
      </c>
      <c r="F10">
        <v>24</v>
      </c>
      <c r="G10">
        <v>15.738166666666659</v>
      </c>
      <c r="H10">
        <v>14.693166666666672</v>
      </c>
      <c r="I10">
        <v>62.7</v>
      </c>
      <c r="J10">
        <v>0</v>
      </c>
      <c r="L10" s="5">
        <f>H10/G10</f>
        <v>0.93360090650118155</v>
      </c>
      <c r="M10" s="5">
        <f>(D10*E10)/(H10*60)</f>
        <v>0.99732389118610498</v>
      </c>
      <c r="N10" s="5">
        <f>(E10- (J10+K10))/E10</f>
        <v>1</v>
      </c>
      <c r="O10" s="5">
        <f>L10*M10*N10</f>
        <v>0.93110248888663338</v>
      </c>
      <c r="P10" s="6">
        <f>E10/G10</f>
        <v>72.625994133158287</v>
      </c>
      <c r="R10" t="s">
        <v>67</v>
      </c>
      <c r="S10" s="4">
        <f>(SUM(E11:E11)-SUM(J11:K11))/SUM(E11:E11)</f>
        <v>1</v>
      </c>
      <c r="T10" s="4">
        <f>(AVERAGE(D11:D11)*SUM(E11:E11))/(SUM(H11:H11)*60)</f>
        <v>1.0000658241939586</v>
      </c>
      <c r="U10" s="4">
        <f>SUM(H11:H11)/SUM(G11:G11)</f>
        <v>0.76564367816091994</v>
      </c>
      <c r="V10" s="4">
        <f>S10*T10*U10</f>
        <v>0.76569407603889439</v>
      </c>
      <c r="W10" s="4">
        <f xml:space="preserve"> 1 - U10</f>
        <v>0.23435632183908006</v>
      </c>
      <c r="X10" s="7">
        <f>(SUM(E11:E11)/SUM(G11:G11))</f>
        <v>119.44827586206897</v>
      </c>
    </row>
    <row r="11" spans="1:24" x14ac:dyDescent="0.25">
      <c r="A11" t="s">
        <v>67</v>
      </c>
      <c r="B11" s="18" t="s">
        <v>68</v>
      </c>
      <c r="C11">
        <v>156</v>
      </c>
      <c r="D11">
        <v>0.38461538461537997</v>
      </c>
      <c r="E11">
        <v>1732</v>
      </c>
      <c r="F11">
        <v>15.5</v>
      </c>
      <c r="G11">
        <v>14.5</v>
      </c>
      <c r="H11">
        <v>11.101833333333339</v>
      </c>
      <c r="I11">
        <v>203.89</v>
      </c>
      <c r="J11">
        <v>0</v>
      </c>
      <c r="L11" s="5">
        <f>H11/G11</f>
        <v>0.76564367816091994</v>
      </c>
      <c r="M11" s="5">
        <f>(D11*E11)/(H11*60)</f>
        <v>1.0000658241939586</v>
      </c>
      <c r="N11" s="5">
        <f>(E11- (J11+K11))/E11</f>
        <v>1</v>
      </c>
      <c r="O11" s="5">
        <f>L11*M11*N11</f>
        <v>0.76569407603889439</v>
      </c>
      <c r="P11" s="6">
        <f>E11/G11</f>
        <v>119.44827586206897</v>
      </c>
      <c r="R11" t="s">
        <v>47</v>
      </c>
      <c r="S11" s="4">
        <f>(SUM(E12:E12)-SUM(J12:K12))/SUM(E12:E12)</f>
        <v>0.95550210463018637</v>
      </c>
      <c r="T11" s="4">
        <f>(AVERAGE(D12:D12)*SUM(E12:E12))/(SUM(H12:H12)*60)</f>
        <v>0.99682908846782003</v>
      </c>
      <c r="U11" s="4">
        <f>SUM(H12:H12)/SUM(G12:G12)</f>
        <v>0.79584496124031023</v>
      </c>
      <c r="V11" s="4">
        <f>S11*T11*U11</f>
        <v>0.75802027429933483</v>
      </c>
      <c r="W11" s="4">
        <f xml:space="preserve"> 1 - U11</f>
        <v>0.20415503875968977</v>
      </c>
      <c r="X11" s="7">
        <f>(SUM(E12:E12)/SUM(G12:G12))</f>
        <v>123.75813953488372</v>
      </c>
    </row>
    <row r="12" spans="1:24" x14ac:dyDescent="0.25">
      <c r="A12" t="s">
        <v>47</v>
      </c>
      <c r="B12" s="18" t="s">
        <v>48</v>
      </c>
      <c r="C12">
        <v>156</v>
      </c>
      <c r="D12">
        <v>0.38461538461537997</v>
      </c>
      <c r="E12">
        <v>1663</v>
      </c>
      <c r="F12">
        <v>15.5</v>
      </c>
      <c r="G12">
        <v>13.4375</v>
      </c>
      <c r="H12">
        <v>10.694166666666669</v>
      </c>
      <c r="I12">
        <v>164.6</v>
      </c>
      <c r="J12">
        <v>74</v>
      </c>
      <c r="L12" s="5">
        <f>H12/G12</f>
        <v>0.79584496124031023</v>
      </c>
      <c r="M12" s="5">
        <f>(D12*E12)/(H12*60)</f>
        <v>0.99682908846782003</v>
      </c>
      <c r="N12" s="5">
        <f>(E12- (J12+K12))/E12</f>
        <v>0.95550210463018637</v>
      </c>
      <c r="O12" s="5">
        <f>L12*M12*N12</f>
        <v>0.75802027429933483</v>
      </c>
      <c r="P12" s="6">
        <f>E12/G12</f>
        <v>123.75813953488372</v>
      </c>
      <c r="R12" t="s">
        <v>45</v>
      </c>
      <c r="S12" s="4">
        <f>(SUM(E13:E13)-SUM(J13:K13))/SUM(E13:E13)</f>
        <v>0.98599999999999999</v>
      </c>
      <c r="T12" s="4">
        <f>(AVERAGE(D13:D13)*SUM(E13:E13))/(SUM(H13:H13)*60)</f>
        <v>1.0000160002559872</v>
      </c>
      <c r="U12" s="4">
        <f>SUM(H13:H13)/SUM(G13:G13)</f>
        <v>0.48113163972286394</v>
      </c>
      <c r="V12" s="4">
        <f>S12*T12*U12</f>
        <v>0.47440338722093139</v>
      </c>
      <c r="W12" s="4">
        <f xml:space="preserve"> 1 - U12</f>
        <v>0.51886836027713601</v>
      </c>
      <c r="X12" s="7">
        <f>(SUM(E13:E13)/SUM(G13:G13))</f>
        <v>69.284064665126991</v>
      </c>
    </row>
    <row r="13" spans="1:24" x14ac:dyDescent="0.25">
      <c r="A13" t="s">
        <v>45</v>
      </c>
      <c r="B13" s="18" t="s">
        <v>46</v>
      </c>
      <c r="C13">
        <v>144</v>
      </c>
      <c r="D13">
        <v>0.41666666666666002</v>
      </c>
      <c r="E13">
        <v>500</v>
      </c>
      <c r="F13">
        <v>8</v>
      </c>
      <c r="G13">
        <v>7.2166666666666703</v>
      </c>
      <c r="H13">
        <v>3.47216666666667</v>
      </c>
      <c r="I13">
        <v>224.67</v>
      </c>
      <c r="J13">
        <v>7</v>
      </c>
      <c r="L13" s="5">
        <f>H13/G13</f>
        <v>0.48113163972286394</v>
      </c>
      <c r="M13" s="5">
        <f>(D13*E13)/(H13*60)</f>
        <v>1.0000160002559872</v>
      </c>
      <c r="N13" s="5">
        <f>(E13- (J13+K13))/E13</f>
        <v>0.98599999999999999</v>
      </c>
      <c r="O13" s="5">
        <f>L13*M13*N13</f>
        <v>0.47440338722093134</v>
      </c>
      <c r="P13" s="6">
        <f>E13/G13</f>
        <v>69.284064665126991</v>
      </c>
      <c r="R13" t="s">
        <v>25</v>
      </c>
      <c r="S13" s="4">
        <f>(SUM(E14:E15)-SUM(J14:K15))/SUM(E14:E15)</f>
        <v>0.9692982456140351</v>
      </c>
      <c r="T13" s="4">
        <f>(AVERAGE(D14:D15)*SUM(E14:E15))/(SUM(H14:H15)*60)</f>
        <v>0.99952763551434565</v>
      </c>
      <c r="U13" s="4">
        <f>SUM(H14:H15)/SUM(G14:G15)</f>
        <v>0.82234329232571668</v>
      </c>
      <c r="V13" s="4">
        <f>S13*T13*U13</f>
        <v>0.79671939074398557</v>
      </c>
      <c r="W13" s="4">
        <f xml:space="preserve"> 1 - U13</f>
        <v>0.17765670767428332</v>
      </c>
      <c r="X13" s="7">
        <f>(SUM(E14:E15)/SUM(G14:G15))</f>
        <v>64.112478031634453</v>
      </c>
    </row>
    <row r="14" spans="1:24" x14ac:dyDescent="0.25">
      <c r="A14" t="s">
        <v>25</v>
      </c>
      <c r="B14" s="18" t="s">
        <v>69</v>
      </c>
      <c r="C14">
        <v>78</v>
      </c>
      <c r="D14">
        <v>0.76923076923075995</v>
      </c>
      <c r="E14">
        <v>200</v>
      </c>
      <c r="F14">
        <v>3.5449999999999999</v>
      </c>
      <c r="G14">
        <v>3.0449999999999999</v>
      </c>
      <c r="H14">
        <v>2.57833333333333</v>
      </c>
      <c r="I14">
        <v>28</v>
      </c>
      <c r="J14">
        <v>2</v>
      </c>
      <c r="L14" s="5">
        <f>H14/G14</f>
        <v>0.84674329501915602</v>
      </c>
      <c r="M14" s="5">
        <f>(D14*E14)/(H14*60)</f>
        <v>0.99448063248967167</v>
      </c>
      <c r="N14" s="5">
        <f>(E14- (J14+K14))/E14</f>
        <v>0.99</v>
      </c>
      <c r="O14" s="5">
        <f>L14*M14*N14</f>
        <v>0.83364910951116855</v>
      </c>
      <c r="P14" s="6">
        <f>E14/G14</f>
        <v>65.681444991789817</v>
      </c>
      <c r="R14" t="s">
        <v>49</v>
      </c>
      <c r="S14" s="4">
        <f>(SUM(E16:E17)-SUM(J16:K17))/SUM(E16:E17)</f>
        <v>0.99483737738771294</v>
      </c>
      <c r="T14" s="4">
        <f>(AVERAGE(D16:D17)*SUM(E16:E17))/(SUM(H16:H17)*60)</f>
        <v>1.0000549849539835</v>
      </c>
      <c r="U14" s="4">
        <f>SUM(H16:H17)/SUM(G16:G17)</f>
        <v>0.95987934688933896</v>
      </c>
      <c r="V14" s="4">
        <f>S14*T14*U14</f>
        <v>0.9549763585120844</v>
      </c>
      <c r="W14" s="4">
        <f xml:space="preserve"> 1 - U14</f>
        <v>4.0120653110661042E-2</v>
      </c>
      <c r="X14" s="7">
        <f>(SUM(E16:E17)/SUM(G16:G17))</f>
        <v>135.35042973936132</v>
      </c>
    </row>
    <row r="15" spans="1:24" x14ac:dyDescent="0.25">
      <c r="A15" t="s">
        <v>25</v>
      </c>
      <c r="B15" s="18" t="s">
        <v>70</v>
      </c>
      <c r="C15">
        <v>78</v>
      </c>
      <c r="D15">
        <v>0.76923076923075995</v>
      </c>
      <c r="E15">
        <v>712</v>
      </c>
      <c r="F15">
        <v>11.955</v>
      </c>
      <c r="G15">
        <v>11.18</v>
      </c>
      <c r="H15">
        <v>9.1194999999999897</v>
      </c>
      <c r="I15">
        <v>123.63</v>
      </c>
      <c r="J15">
        <v>26</v>
      </c>
      <c r="L15" s="5">
        <f>H15/G15</f>
        <v>0.81569767441860375</v>
      </c>
      <c r="M15" s="5">
        <f>(D15*E15)/(H15*60)</f>
        <v>1.0009545620050471</v>
      </c>
      <c r="N15" s="5">
        <f>(E15- (J15+K15))/E15</f>
        <v>0.9634831460674157</v>
      </c>
      <c r="O15" s="5">
        <f>L15*M15*N15</f>
        <v>0.78666116233199346</v>
      </c>
      <c r="P15" s="6">
        <f>E15/G15</f>
        <v>63.685152057245084</v>
      </c>
      <c r="R15" t="s">
        <v>22</v>
      </c>
      <c r="S15" s="4">
        <f>(SUM(E18:E18)-SUM(J18:K18))/SUM(E18:E18)</f>
        <v>0.96277056277056272</v>
      </c>
      <c r="T15" s="4">
        <f>(AVERAGE(D18:D18)*SUM(E18:E18))/(SUM(H18:H18)*60)</f>
        <v>0.99106667089978207</v>
      </c>
      <c r="U15" s="4">
        <f>SUM(H18:H18)/SUM(G18:G18)</f>
        <v>0.8270018450184502</v>
      </c>
      <c r="V15" s="4">
        <f>S15*T15*U15</f>
        <v>0.78910019869428505</v>
      </c>
      <c r="W15" s="4">
        <f xml:space="preserve"> 1 - U15</f>
        <v>0.1729981549815498</v>
      </c>
      <c r="X15" s="7">
        <f>(SUM(E18:E18)/SUM(G18:G18))</f>
        <v>63.929889298892974</v>
      </c>
    </row>
    <row r="16" spans="1:24" x14ac:dyDescent="0.25">
      <c r="A16" t="s">
        <v>49</v>
      </c>
      <c r="B16" s="18" t="s">
        <v>71</v>
      </c>
      <c r="C16">
        <v>141</v>
      </c>
      <c r="D16">
        <v>0.42553191489360997</v>
      </c>
      <c r="E16">
        <v>1318</v>
      </c>
      <c r="F16">
        <v>10.493333333333331</v>
      </c>
      <c r="G16">
        <v>9.8043333333333305</v>
      </c>
      <c r="H16">
        <v>9.3384999999999998</v>
      </c>
      <c r="I16">
        <v>27.95</v>
      </c>
      <c r="J16">
        <v>10</v>
      </c>
      <c r="L16" s="5">
        <f>H16/G16</f>
        <v>0.95248699554618732</v>
      </c>
      <c r="M16" s="5">
        <f>(D16*E16)/(H16*60)</f>
        <v>1.0009656508535953</v>
      </c>
      <c r="N16" s="5">
        <f>(E16- (J16+K16))/E16</f>
        <v>0.99241274658573597</v>
      </c>
      <c r="O16" s="5">
        <f>L16*M16*N16</f>
        <v>0.94617302669031056</v>
      </c>
      <c r="P16" s="6">
        <f>E16/G16</f>
        <v>134.43035392513519</v>
      </c>
      <c r="R16" t="s">
        <v>51</v>
      </c>
      <c r="S16" s="4">
        <f>(SUM(E19:E19)-SUM(J19:K19))/SUM(E19:E19)</f>
        <v>0.98947368421052628</v>
      </c>
      <c r="T16" s="4">
        <f>(AVERAGE(D19:D19)*SUM(E19:E19))/(SUM(H19:H19)*60)</f>
        <v>0.99850528460995092</v>
      </c>
      <c r="U16" s="4">
        <f>SUM(H19:H19)/SUM(G19:G19)</f>
        <v>0.81256354817974696</v>
      </c>
      <c r="V16" s="4">
        <f>S16*T16*U16</f>
        <v>0.80280848118163828</v>
      </c>
      <c r="W16" s="4">
        <f xml:space="preserve"> 1 - U16</f>
        <v>0.18743645182025304</v>
      </c>
      <c r="X16" s="7">
        <f>(SUM(E19:E19)/SUM(G19:G19))</f>
        <v>126.57044352246832</v>
      </c>
    </row>
    <row r="17" spans="1:24" x14ac:dyDescent="0.25">
      <c r="A17" t="s">
        <v>49</v>
      </c>
      <c r="B17" s="18" t="s">
        <v>50</v>
      </c>
      <c r="C17">
        <v>141</v>
      </c>
      <c r="D17">
        <v>0.42553191489360997</v>
      </c>
      <c r="E17">
        <v>619</v>
      </c>
      <c r="F17">
        <v>5.0066666666666704</v>
      </c>
      <c r="G17">
        <v>4.5066666666666704</v>
      </c>
      <c r="H17">
        <v>4.3983333333333299</v>
      </c>
      <c r="I17">
        <v>6.5</v>
      </c>
      <c r="J17">
        <v>0</v>
      </c>
      <c r="L17" s="5">
        <f>H17/G17</f>
        <v>0.97596153846153688</v>
      </c>
      <c r="M17" s="5">
        <f>(D17*E17)/(H17*60)</f>
        <v>0.99812146767390963</v>
      </c>
      <c r="N17" s="5">
        <f>(E17- (J17+K17))/E17</f>
        <v>1</v>
      </c>
      <c r="O17" s="5">
        <f>L17*M17*N17</f>
        <v>0.97412816316251605</v>
      </c>
      <c r="P17" s="6">
        <f>E17/G17</f>
        <v>137.35207100591705</v>
      </c>
      <c r="R17" t="s">
        <v>53</v>
      </c>
      <c r="S17" s="4">
        <f>(SUM(E20:E20)-SUM(J20:K20))/SUM(E20:E20)</f>
        <v>0.99677158999192894</v>
      </c>
      <c r="T17" s="4">
        <f>(AVERAGE(D20:D20)*SUM(E20:E20))/(SUM(H20:H20)*60)</f>
        <v>0.99424684958561549</v>
      </c>
      <c r="U17" s="4">
        <f>SUM(H20:H20)/SUM(G20:G20)</f>
        <v>0.8984804622204996</v>
      </c>
      <c r="V17" s="4">
        <f>S17*T17*U17</f>
        <v>0.89042739361303047</v>
      </c>
      <c r="W17" s="4">
        <f xml:space="preserve"> 1 - U17</f>
        <v>0.1015195377795004</v>
      </c>
      <c r="X17" s="7">
        <f>(SUM(E20:E20)/SUM(G20:G20))</f>
        <v>56.278616245548577</v>
      </c>
    </row>
    <row r="18" spans="1:24" x14ac:dyDescent="0.25">
      <c r="A18" t="s">
        <v>22</v>
      </c>
      <c r="B18" s="18" t="s">
        <v>23</v>
      </c>
      <c r="C18">
        <v>78</v>
      </c>
      <c r="D18">
        <v>0.76923076923075995</v>
      </c>
      <c r="E18">
        <v>1155</v>
      </c>
      <c r="F18">
        <v>24</v>
      </c>
      <c r="G18">
        <v>18.06666666666667</v>
      </c>
      <c r="H18">
        <v>14.941166666666669</v>
      </c>
      <c r="I18">
        <v>187.53</v>
      </c>
      <c r="J18">
        <v>43</v>
      </c>
      <c r="L18" s="5">
        <f>H18/G18</f>
        <v>0.8270018450184502</v>
      </c>
      <c r="M18" s="5">
        <f>(D18*E18)/(H18*60)</f>
        <v>0.99106667089978207</v>
      </c>
      <c r="N18" s="5">
        <f>(E18- (J18+K18))/E18</f>
        <v>0.96277056277056272</v>
      </c>
      <c r="O18" s="5">
        <f>L18*M18*N18</f>
        <v>0.78910019869428505</v>
      </c>
      <c r="P18" s="6">
        <f>E18/G18</f>
        <v>63.929889298892974</v>
      </c>
    </row>
    <row r="19" spans="1:24" x14ac:dyDescent="0.25">
      <c r="A19" t="s">
        <v>51</v>
      </c>
      <c r="B19" s="18" t="s">
        <v>52</v>
      </c>
      <c r="C19">
        <v>156</v>
      </c>
      <c r="D19">
        <v>0.38461538461537997</v>
      </c>
      <c r="E19">
        <v>1805</v>
      </c>
      <c r="F19">
        <v>15.5</v>
      </c>
      <c r="G19">
        <v>14.260833333333331</v>
      </c>
      <c r="H19">
        <v>11.587833333333339</v>
      </c>
      <c r="I19">
        <v>160.38</v>
      </c>
      <c r="J19">
        <v>19</v>
      </c>
      <c r="L19" s="21">
        <f>H19/G19</f>
        <v>0.81256354817974696</v>
      </c>
      <c r="M19" s="5">
        <f>(D19*E19)/(H19*60)</f>
        <v>0.99850528460995092</v>
      </c>
      <c r="N19" s="5">
        <f>(E19- (J19+K19))/E19</f>
        <v>0.98947368421052628</v>
      </c>
      <c r="O19" s="5">
        <f>L19*M19*N19</f>
        <v>0.80280848118163839</v>
      </c>
      <c r="P19" s="6">
        <f>E19/G19</f>
        <v>126.57044352246832</v>
      </c>
    </row>
    <row r="20" spans="1:24" x14ac:dyDescent="0.25">
      <c r="A20" t="s">
        <v>53</v>
      </c>
      <c r="B20" s="18" t="s">
        <v>54</v>
      </c>
      <c r="C20">
        <v>63</v>
      </c>
      <c r="D20">
        <v>0.95238095238095</v>
      </c>
      <c r="E20">
        <v>1239</v>
      </c>
      <c r="F20">
        <v>24</v>
      </c>
      <c r="G20">
        <v>22.015466666666669</v>
      </c>
      <c r="H20">
        <v>19.780466666666669</v>
      </c>
      <c r="I20">
        <v>134.1</v>
      </c>
      <c r="J20">
        <v>4</v>
      </c>
      <c r="L20" s="5">
        <f>H20/G20</f>
        <v>0.8984804622204996</v>
      </c>
      <c r="M20" s="5">
        <f>(D20*E20)/(H20*60)</f>
        <v>0.99424684958561549</v>
      </c>
      <c r="N20" s="5">
        <f>(E20- (J20+K20))/E20</f>
        <v>0.99677158999192894</v>
      </c>
      <c r="O20" s="5">
        <f>L20*M20*N20</f>
        <v>0.89042739361303047</v>
      </c>
      <c r="P20" s="6">
        <f>E20/G20</f>
        <v>56.278616245548577</v>
      </c>
    </row>
    <row r="21" spans="1:24" x14ac:dyDescent="0.25">
      <c r="B21" s="18" t="s">
        <v>8</v>
      </c>
      <c r="C21">
        <f>AVERAGE(C5:C20)</f>
        <v>117.5625</v>
      </c>
      <c r="D21">
        <f>AVERAGE(D5:D20)</f>
        <v>0.57345247837268443</v>
      </c>
      <c r="E21">
        <f>SUM(E5:E20)</f>
        <v>17044</v>
      </c>
      <c r="F21">
        <f>SUM(F5:F20)</f>
        <v>211.5</v>
      </c>
      <c r="G21">
        <f>SUM(G5:G20)</f>
        <v>182.69463333333331</v>
      </c>
      <c r="H21">
        <f>SUM(H5:H20)</f>
        <v>149.15513333333331</v>
      </c>
      <c r="I21">
        <f>SUM(I5:I20)</f>
        <v>2012.37</v>
      </c>
      <c r="J21">
        <f>SUM(J5:J20)</f>
        <v>187</v>
      </c>
      <c r="L21" s="5">
        <f>SUMPRODUCT(G5:G20,L5:L20)/SUM(G5:G20)</f>
        <v>0.81641770539145553</v>
      </c>
      <c r="M21" s="5">
        <f>SUMPRODUCT(H5:H20,M5:M20)/SUM(H5:H20)</f>
        <v>0.9971146471190403</v>
      </c>
      <c r="N21" s="5">
        <f>SUMPRODUCT(E5:E20,N5:N20)/SUM(E5:E20)</f>
        <v>0.98902839708988499</v>
      </c>
      <c r="O21" s="5">
        <f>L21*M21*N21</f>
        <v>0.80513048663206188</v>
      </c>
      <c r="P21" s="6">
        <f>E21/G21</f>
        <v>93.292286089775686</v>
      </c>
    </row>
  </sheetData>
  <pageMargins left="0.7" right="0.7" top="0.75" bottom="0.75" header="0.3" footer="0.3"/>
  <pageSetup orientation="portrait" horizontalDpi="4294967292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2</xdr:col>
                    <xdr:colOff>19050</xdr:colOff>
                    <xdr:row>0</xdr:row>
                    <xdr:rowOff>152400</xdr:rowOff>
                  </from>
                  <to>
                    <xdr:col>3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4:F35"/>
  <sheetViews>
    <sheetView workbookViewId="0">
      <selection activeCell="B9" sqref="B9"/>
    </sheetView>
  </sheetViews>
  <sheetFormatPr defaultRowHeight="15" x14ac:dyDescent="0.25"/>
  <cols>
    <col min="2" max="2" width="25.140625" bestFit="1" customWidth="1"/>
    <col min="3" max="3" width="8.42578125" customWidth="1"/>
    <col min="4" max="4" width="5" bestFit="1" customWidth="1"/>
    <col min="5" max="5" width="4" bestFit="1" customWidth="1"/>
    <col min="6" max="6" width="11.28515625" customWidth="1"/>
    <col min="7" max="7" width="11.28515625" bestFit="1" customWidth="1"/>
  </cols>
  <sheetData>
    <row r="4" spans="2:6" x14ac:dyDescent="0.25">
      <c r="B4" s="16" t="s">
        <v>43</v>
      </c>
      <c r="C4" s="16" t="s">
        <v>44</v>
      </c>
    </row>
    <row r="5" spans="2:6" x14ac:dyDescent="0.25">
      <c r="B5" s="16" t="s">
        <v>41</v>
      </c>
      <c r="C5" t="s">
        <v>24</v>
      </c>
      <c r="D5" t="s">
        <v>21</v>
      </c>
      <c r="E5" t="s">
        <v>26</v>
      </c>
      <c r="F5" t="s">
        <v>42</v>
      </c>
    </row>
    <row r="6" spans="2:6" x14ac:dyDescent="0.25">
      <c r="B6" s="17" t="s">
        <v>25</v>
      </c>
      <c r="C6" s="3">
        <v>469</v>
      </c>
      <c r="D6" s="3">
        <v>443</v>
      </c>
      <c r="E6" s="3"/>
      <c r="F6" s="3">
        <v>912</v>
      </c>
    </row>
    <row r="7" spans="2:6" x14ac:dyDescent="0.25">
      <c r="B7" s="2" t="s">
        <v>70</v>
      </c>
      <c r="C7" s="3">
        <v>469</v>
      </c>
      <c r="D7" s="3">
        <v>243</v>
      </c>
      <c r="E7" s="3"/>
      <c r="F7" s="3">
        <v>712</v>
      </c>
    </row>
    <row r="8" spans="2:6" x14ac:dyDescent="0.25">
      <c r="B8" s="2" t="s">
        <v>69</v>
      </c>
      <c r="C8" s="3"/>
      <c r="D8" s="3">
        <v>200</v>
      </c>
      <c r="E8" s="3"/>
      <c r="F8" s="3">
        <v>200</v>
      </c>
    </row>
    <row r="9" spans="2:6" x14ac:dyDescent="0.25">
      <c r="B9" s="17" t="s">
        <v>22</v>
      </c>
      <c r="C9" s="3">
        <v>505</v>
      </c>
      <c r="D9" s="3">
        <v>448</v>
      </c>
      <c r="E9" s="3">
        <v>202</v>
      </c>
      <c r="F9" s="3">
        <v>1155</v>
      </c>
    </row>
    <row r="10" spans="2:6" x14ac:dyDescent="0.25">
      <c r="B10" s="2" t="s">
        <v>23</v>
      </c>
      <c r="C10" s="3">
        <v>505</v>
      </c>
      <c r="D10" s="3">
        <v>448</v>
      </c>
      <c r="E10" s="3">
        <v>202</v>
      </c>
      <c r="F10" s="3">
        <v>1155</v>
      </c>
    </row>
    <row r="11" spans="2:6" x14ac:dyDescent="0.25">
      <c r="B11" s="17" t="s">
        <v>60</v>
      </c>
      <c r="C11" s="3">
        <v>466</v>
      </c>
      <c r="D11" s="3">
        <v>376</v>
      </c>
      <c r="E11" s="3"/>
      <c r="F11" s="3">
        <v>842</v>
      </c>
    </row>
    <row r="12" spans="2:6" x14ac:dyDescent="0.25">
      <c r="B12" s="2" t="s">
        <v>62</v>
      </c>
      <c r="C12" s="3">
        <v>466</v>
      </c>
      <c r="D12" s="3">
        <v>342</v>
      </c>
      <c r="E12" s="3"/>
      <c r="F12" s="3">
        <v>808</v>
      </c>
    </row>
    <row r="13" spans="2:6" x14ac:dyDescent="0.25">
      <c r="B13" s="2" t="s">
        <v>61</v>
      </c>
      <c r="C13" s="3"/>
      <c r="D13" s="3">
        <v>34</v>
      </c>
      <c r="E13" s="3"/>
      <c r="F13" s="3">
        <v>34</v>
      </c>
    </row>
    <row r="14" spans="2:6" x14ac:dyDescent="0.25">
      <c r="B14" s="17" t="s">
        <v>65</v>
      </c>
      <c r="C14" s="3">
        <v>446</v>
      </c>
      <c r="D14" s="3">
        <v>472</v>
      </c>
      <c r="E14" s="3">
        <v>225</v>
      </c>
      <c r="F14" s="3">
        <v>1143</v>
      </c>
    </row>
    <row r="15" spans="2:6" x14ac:dyDescent="0.25">
      <c r="B15" s="2" t="s">
        <v>66</v>
      </c>
      <c r="C15" s="3">
        <v>446</v>
      </c>
      <c r="D15" s="3">
        <v>472</v>
      </c>
      <c r="E15" s="3">
        <v>225</v>
      </c>
      <c r="F15" s="3">
        <v>1143</v>
      </c>
    </row>
    <row r="16" spans="2:6" x14ac:dyDescent="0.25">
      <c r="B16" s="17" t="s">
        <v>49</v>
      </c>
      <c r="C16" s="3">
        <v>971</v>
      </c>
      <c r="D16" s="3">
        <v>966</v>
      </c>
      <c r="E16" s="3"/>
      <c r="F16" s="3">
        <v>1937</v>
      </c>
    </row>
    <row r="17" spans="2:6" x14ac:dyDescent="0.25">
      <c r="B17" s="2" t="s">
        <v>71</v>
      </c>
      <c r="C17" s="3">
        <v>971</v>
      </c>
      <c r="D17" s="3">
        <v>347</v>
      </c>
      <c r="E17" s="3"/>
      <c r="F17" s="3">
        <v>1318</v>
      </c>
    </row>
    <row r="18" spans="2:6" x14ac:dyDescent="0.25">
      <c r="B18" s="2" t="s">
        <v>50</v>
      </c>
      <c r="C18" s="3"/>
      <c r="D18" s="3">
        <v>619</v>
      </c>
      <c r="E18" s="3"/>
      <c r="F18" s="3">
        <v>619</v>
      </c>
    </row>
    <row r="19" spans="2:6" x14ac:dyDescent="0.25">
      <c r="B19" s="17" t="s">
        <v>51</v>
      </c>
      <c r="C19" s="3">
        <v>997</v>
      </c>
      <c r="D19" s="3">
        <v>808</v>
      </c>
      <c r="E19" s="3"/>
      <c r="F19" s="3">
        <v>1805</v>
      </c>
    </row>
    <row r="20" spans="2:6" x14ac:dyDescent="0.25">
      <c r="B20" s="2" t="s">
        <v>52</v>
      </c>
      <c r="C20" s="3">
        <v>997</v>
      </c>
      <c r="D20" s="3">
        <v>808</v>
      </c>
      <c r="E20" s="3"/>
      <c r="F20" s="3">
        <v>1805</v>
      </c>
    </row>
    <row r="21" spans="2:6" x14ac:dyDescent="0.25">
      <c r="B21" s="17" t="s">
        <v>47</v>
      </c>
      <c r="C21" s="3">
        <v>861</v>
      </c>
      <c r="D21" s="3">
        <v>802</v>
      </c>
      <c r="E21" s="3"/>
      <c r="F21" s="3">
        <v>1663</v>
      </c>
    </row>
    <row r="22" spans="2:6" x14ac:dyDescent="0.25">
      <c r="B22" s="2" t="s">
        <v>48</v>
      </c>
      <c r="C22" s="3">
        <v>861</v>
      </c>
      <c r="D22" s="3">
        <v>802</v>
      </c>
      <c r="E22" s="3"/>
      <c r="F22" s="3">
        <v>1663</v>
      </c>
    </row>
    <row r="23" spans="2:6" x14ac:dyDescent="0.25">
      <c r="B23" s="17" t="s">
        <v>63</v>
      </c>
      <c r="C23" s="3">
        <v>988</v>
      </c>
      <c r="D23" s="3">
        <v>956</v>
      </c>
      <c r="E23" s="3"/>
      <c r="F23" s="3">
        <v>1944</v>
      </c>
    </row>
    <row r="24" spans="2:6" x14ac:dyDescent="0.25">
      <c r="B24" s="2" t="s">
        <v>64</v>
      </c>
      <c r="C24" s="3">
        <v>988</v>
      </c>
      <c r="D24" s="3">
        <v>956</v>
      </c>
      <c r="E24" s="3"/>
      <c r="F24" s="3">
        <v>1944</v>
      </c>
    </row>
    <row r="25" spans="2:6" x14ac:dyDescent="0.25">
      <c r="B25" s="17" t="s">
        <v>67</v>
      </c>
      <c r="C25" s="3">
        <v>876</v>
      </c>
      <c r="D25" s="3">
        <v>856</v>
      </c>
      <c r="E25" s="3"/>
      <c r="F25" s="3">
        <v>1732</v>
      </c>
    </row>
    <row r="26" spans="2:6" x14ac:dyDescent="0.25">
      <c r="B26" s="2" t="s">
        <v>68</v>
      </c>
      <c r="C26" s="3">
        <v>876</v>
      </c>
      <c r="D26" s="3">
        <v>856</v>
      </c>
      <c r="E26" s="3"/>
      <c r="F26" s="3">
        <v>1732</v>
      </c>
    </row>
    <row r="27" spans="2:6" x14ac:dyDescent="0.25">
      <c r="B27" s="17" t="s">
        <v>56</v>
      </c>
      <c r="C27" s="3">
        <v>930</v>
      </c>
      <c r="D27" s="3">
        <v>902</v>
      </c>
      <c r="E27" s="3"/>
      <c r="F27" s="3">
        <v>1832</v>
      </c>
    </row>
    <row r="28" spans="2:6" x14ac:dyDescent="0.25">
      <c r="B28" s="2" t="s">
        <v>57</v>
      </c>
      <c r="C28" s="3">
        <v>930</v>
      </c>
      <c r="D28" s="3">
        <v>902</v>
      </c>
      <c r="E28" s="3"/>
      <c r="F28" s="3">
        <v>1832</v>
      </c>
    </row>
    <row r="29" spans="2:6" x14ac:dyDescent="0.25">
      <c r="B29" s="17" t="s">
        <v>53</v>
      </c>
      <c r="C29" s="3">
        <v>396</v>
      </c>
      <c r="D29" s="3">
        <v>406</v>
      </c>
      <c r="E29" s="3">
        <v>437</v>
      </c>
      <c r="F29" s="3">
        <v>1239</v>
      </c>
    </row>
    <row r="30" spans="2:6" x14ac:dyDescent="0.25">
      <c r="B30" s="2" t="s">
        <v>54</v>
      </c>
      <c r="C30" s="3">
        <v>396</v>
      </c>
      <c r="D30" s="3">
        <v>406</v>
      </c>
      <c r="E30" s="3">
        <v>437</v>
      </c>
      <c r="F30" s="3">
        <v>1239</v>
      </c>
    </row>
    <row r="31" spans="2:6" x14ac:dyDescent="0.25">
      <c r="B31" s="17" t="s">
        <v>45</v>
      </c>
      <c r="C31" s="3">
        <v>500</v>
      </c>
      <c r="D31" s="3"/>
      <c r="E31" s="3"/>
      <c r="F31" s="3">
        <v>500</v>
      </c>
    </row>
    <row r="32" spans="2:6" x14ac:dyDescent="0.25">
      <c r="B32" s="2" t="s">
        <v>46</v>
      </c>
      <c r="C32" s="3">
        <v>500</v>
      </c>
      <c r="D32" s="3"/>
      <c r="E32" s="3"/>
      <c r="F32" s="3">
        <v>500</v>
      </c>
    </row>
    <row r="33" spans="2:6" x14ac:dyDescent="0.25">
      <c r="B33" s="17" t="s">
        <v>58</v>
      </c>
      <c r="C33" s="3"/>
      <c r="D33" s="3">
        <v>340</v>
      </c>
      <c r="E33" s="3"/>
      <c r="F33" s="3">
        <v>340</v>
      </c>
    </row>
    <row r="34" spans="2:6" x14ac:dyDescent="0.25">
      <c r="B34" s="2" t="s">
        <v>59</v>
      </c>
      <c r="C34" s="3"/>
      <c r="D34" s="3">
        <v>340</v>
      </c>
      <c r="E34" s="3"/>
      <c r="F34" s="3">
        <v>340</v>
      </c>
    </row>
    <row r="35" spans="2:6" x14ac:dyDescent="0.25">
      <c r="B35" s="17" t="s">
        <v>42</v>
      </c>
      <c r="C35" s="3">
        <v>8405</v>
      </c>
      <c r="D35" s="3">
        <v>7775</v>
      </c>
      <c r="E35" s="3">
        <v>864</v>
      </c>
      <c r="F35" s="3">
        <v>17044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Datos</vt:lpstr>
      <vt:lpstr>Indicador Diario</vt:lpstr>
      <vt:lpstr>Produccion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Homero Durazo</dc:creator>
  <cp:lastModifiedBy>Homero Durazo</cp:lastModifiedBy>
  <dcterms:created xsi:type="dcterms:W3CDTF">2018-09-03T18:26:41Z</dcterms:created>
  <dcterms:modified xsi:type="dcterms:W3CDTF">2018-11-08T18:30:39Z</dcterms:modified>
</cp:coreProperties>
</file>