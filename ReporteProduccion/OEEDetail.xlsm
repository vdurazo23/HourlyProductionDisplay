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60" windowWidth="21570" windowHeight="8100" tabRatio="261" activeTab="1"/>
  </bookViews>
  <sheets>
    <sheet name="Datos" sheetId="1" r:id="rId1"/>
    <sheet name="Indicador Diario" sheetId="4" r:id="rId2"/>
    <sheet name="Produccion" sheetId="5" r:id="rId3"/>
  </sheets>
  <definedNames>
    <definedName name="Query_from_Reporte" localSheetId="0" hidden="1">Datos!$A$1:$U$34</definedName>
  </definedNames>
  <calcPr calcId="145621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5" i="4" l="1"/>
  <c r="O25" i="4"/>
  <c r="N25" i="4"/>
  <c r="M25" i="4"/>
  <c r="L25" i="4"/>
  <c r="J25" i="4"/>
  <c r="I25" i="4"/>
  <c r="H25" i="4"/>
  <c r="G25" i="4"/>
  <c r="F25" i="4"/>
  <c r="E25" i="4"/>
  <c r="D25" i="4"/>
  <c r="C25" i="4"/>
  <c r="X16" i="4"/>
  <c r="W16" i="4"/>
  <c r="V16" i="4"/>
  <c r="U16" i="4"/>
  <c r="T16" i="4"/>
  <c r="S16" i="4"/>
  <c r="P24" i="4"/>
  <c r="O24" i="4"/>
  <c r="N24" i="4"/>
  <c r="M24" i="4"/>
  <c r="L24" i="4"/>
  <c r="P23" i="4"/>
  <c r="O23" i="4"/>
  <c r="N23" i="4"/>
  <c r="M23" i="4"/>
  <c r="L23" i="4"/>
  <c r="X15" i="4"/>
  <c r="W15" i="4"/>
  <c r="V15" i="4"/>
  <c r="U15" i="4"/>
  <c r="T15" i="4"/>
  <c r="S15" i="4"/>
  <c r="P22" i="4"/>
  <c r="O22" i="4"/>
  <c r="N22" i="4"/>
  <c r="M22" i="4"/>
  <c r="L22" i="4"/>
  <c r="X14" i="4"/>
  <c r="W14" i="4"/>
  <c r="V14" i="4"/>
  <c r="U14" i="4"/>
  <c r="T14" i="4"/>
  <c r="S14" i="4"/>
  <c r="P21" i="4"/>
  <c r="O21" i="4"/>
  <c r="N21" i="4"/>
  <c r="M21" i="4"/>
  <c r="L21" i="4"/>
  <c r="P20" i="4"/>
  <c r="O20" i="4"/>
  <c r="N20" i="4"/>
  <c r="M20" i="4"/>
  <c r="L20" i="4"/>
  <c r="X13" i="4"/>
  <c r="W13" i="4"/>
  <c r="V13" i="4"/>
  <c r="U13" i="4"/>
  <c r="T13" i="4"/>
  <c r="S13" i="4"/>
  <c r="P19" i="4"/>
  <c r="O19" i="4"/>
  <c r="N19" i="4"/>
  <c r="M19" i="4"/>
  <c r="L19" i="4"/>
  <c r="P18" i="4"/>
  <c r="O18" i="4"/>
  <c r="N18" i="4"/>
  <c r="M18" i="4"/>
  <c r="L18" i="4"/>
  <c r="X12" i="4"/>
  <c r="W12" i="4"/>
  <c r="V12" i="4"/>
  <c r="U12" i="4"/>
  <c r="T12" i="4"/>
  <c r="S12" i="4"/>
  <c r="P17" i="4"/>
  <c r="O17" i="4"/>
  <c r="N17" i="4"/>
  <c r="M17" i="4"/>
  <c r="L17" i="4"/>
  <c r="P16" i="4"/>
  <c r="O16" i="4"/>
  <c r="N16" i="4"/>
  <c r="M16" i="4"/>
  <c r="L16" i="4"/>
  <c r="X11" i="4"/>
  <c r="W11" i="4"/>
  <c r="V11" i="4"/>
  <c r="U11" i="4"/>
  <c r="T11" i="4"/>
  <c r="S11" i="4"/>
  <c r="P15" i="4"/>
  <c r="O15" i="4"/>
  <c r="N15" i="4"/>
  <c r="M15" i="4"/>
  <c r="L15" i="4"/>
  <c r="X10" i="4"/>
  <c r="W10" i="4"/>
  <c r="V10" i="4"/>
  <c r="U10" i="4"/>
  <c r="T10" i="4"/>
  <c r="S10" i="4"/>
  <c r="P14" i="4"/>
  <c r="O14" i="4"/>
  <c r="N14" i="4"/>
  <c r="M14" i="4"/>
  <c r="L14" i="4"/>
  <c r="X9" i="4"/>
  <c r="W9" i="4"/>
  <c r="V9" i="4"/>
  <c r="U9" i="4"/>
  <c r="T9" i="4"/>
  <c r="S9" i="4"/>
  <c r="P13" i="4"/>
  <c r="O13" i="4"/>
  <c r="N13" i="4"/>
  <c r="M13" i="4"/>
  <c r="L13" i="4"/>
  <c r="P12" i="4"/>
  <c r="O12" i="4"/>
  <c r="N12" i="4"/>
  <c r="M12" i="4"/>
  <c r="L12" i="4"/>
  <c r="P11" i="4"/>
  <c r="O11" i="4"/>
  <c r="N11" i="4"/>
  <c r="M11" i="4"/>
  <c r="L11" i="4"/>
  <c r="X8" i="4"/>
  <c r="W8" i="4"/>
  <c r="V8" i="4"/>
  <c r="U8" i="4"/>
  <c r="T8" i="4"/>
  <c r="S8" i="4"/>
  <c r="P10" i="4"/>
  <c r="O10" i="4"/>
  <c r="N10" i="4"/>
  <c r="M10" i="4"/>
  <c r="L10" i="4"/>
  <c r="P9" i="4"/>
  <c r="O9" i="4"/>
  <c r="N9" i="4"/>
  <c r="M9" i="4"/>
  <c r="L9" i="4"/>
  <c r="X7" i="4"/>
  <c r="W7" i="4"/>
  <c r="V7" i="4"/>
  <c r="U7" i="4"/>
  <c r="T7" i="4"/>
  <c r="S7" i="4"/>
  <c r="P8" i="4"/>
  <c r="O8" i="4"/>
  <c r="N8" i="4"/>
  <c r="M8" i="4"/>
  <c r="L8" i="4"/>
  <c r="P7" i="4"/>
  <c r="O7" i="4"/>
  <c r="N7" i="4"/>
  <c r="M7" i="4"/>
  <c r="L7" i="4"/>
  <c r="X6" i="4"/>
  <c r="W6" i="4"/>
  <c r="V6" i="4"/>
  <c r="U6" i="4"/>
  <c r="T6" i="4"/>
  <c r="S6" i="4"/>
  <c r="P6" i="4"/>
  <c r="O6" i="4"/>
  <c r="N6" i="4"/>
  <c r="M6" i="4"/>
  <c r="L6" i="4"/>
  <c r="X5" i="4"/>
  <c r="W5" i="4"/>
  <c r="V5" i="4"/>
  <c r="U5" i="4"/>
  <c r="T5" i="4"/>
  <c r="S5" i="4"/>
  <c r="P5" i="4"/>
  <c r="O5" i="4"/>
  <c r="N5" i="4"/>
  <c r="M5" i="4"/>
  <c r="L5" i="4"/>
</calcChain>
</file>

<file path=xl/comments1.xml><?xml version="1.0" encoding="utf-8"?>
<comments xmlns="http://schemas.openxmlformats.org/spreadsheetml/2006/main">
  <authors>
    <author>Homero Durazo</author>
  </authors>
  <commentList>
    <comment ref="B2" authorId="0">
      <text>
        <r>
          <rPr>
            <b/>
            <sz val="9"/>
            <color indexed="81"/>
            <rFont val="Tahoma"/>
            <family val="2"/>
          </rPr>
          <t>Homero Durazo:</t>
        </r>
        <r>
          <rPr>
            <sz val="9"/>
            <color indexed="81"/>
            <rFont val="Tahoma"/>
            <family val="2"/>
          </rPr>
          <t xml:space="preserve">
Día formato:
MM/dd/aaaa</t>
        </r>
      </text>
    </comment>
    <comment ref="G4" authorId="0">
      <text>
        <r>
          <rPr>
            <b/>
            <sz val="9"/>
            <color indexed="81"/>
            <rFont val="Tahoma"/>
            <family val="2"/>
          </rPr>
          <t>Homero Durazo:</t>
        </r>
        <r>
          <rPr>
            <sz val="9"/>
            <color indexed="81"/>
            <rFont val="Tahoma"/>
            <family val="2"/>
          </rPr>
          <t xml:space="preserve">
Tiempo Programado
(Tiempo Total Menos Paros planeados)</t>
        </r>
      </text>
    </comment>
    <comment ref="H4" authorId="0">
      <text>
        <r>
          <rPr>
            <b/>
            <sz val="9"/>
            <color indexed="81"/>
            <rFont val="Tahoma"/>
            <family val="2"/>
          </rPr>
          <t>Homero Durazo:</t>
        </r>
        <r>
          <rPr>
            <sz val="9"/>
            <color indexed="81"/>
            <rFont val="Tahoma"/>
            <family val="2"/>
          </rPr>
          <t xml:space="preserve">
Tiempo Operativo:
(Tiempo Planeado Menos Tiempo Muerto)</t>
        </r>
      </text>
    </comment>
  </commentList>
</comments>
</file>

<file path=xl/connections.xml><?xml version="1.0" encoding="utf-8"?>
<connections xmlns="http://schemas.openxmlformats.org/spreadsheetml/2006/main">
  <connection id="1" name="Reporte" type="1" refreshedVersion="4" savePassword="1" background="1" saveData="1">
    <dbPr connection="DSN=Reporte;Description=Reporte Producción;UID=reportes;PWD=martinrea;APP=Microsoft Office 2013;WSID=HOMERO-PC;DATABASE=Reporte" command="SELECT * from dbo.Vw_OEEDetail where ProductionDate='11/10/2018'"/>
    <parameters count="1">
      <parameter name="Parameter1" prompt="Parameter1"/>
    </parameters>
  </connection>
</connections>
</file>

<file path=xl/sharedStrings.xml><?xml version="1.0" encoding="utf-8"?>
<sst xmlns="http://schemas.openxmlformats.org/spreadsheetml/2006/main" count="270" uniqueCount="75">
  <si>
    <t>ID</t>
  </si>
  <si>
    <t>Asset_ID</t>
  </si>
  <si>
    <t>ProductionDate</t>
  </si>
  <si>
    <t>Shift</t>
  </si>
  <si>
    <t>Name</t>
  </si>
  <si>
    <t>ReportID</t>
  </si>
  <si>
    <t>Part</t>
  </si>
  <si>
    <t>JPH</t>
  </si>
  <si>
    <t>TOTAL</t>
  </si>
  <si>
    <t>Start</t>
  </si>
  <si>
    <t>End</t>
  </si>
  <si>
    <t>Hours</t>
  </si>
  <si>
    <t>PPT</t>
  </si>
  <si>
    <t>OT</t>
  </si>
  <si>
    <t>Downtime</t>
  </si>
  <si>
    <t>PlannedDowntime</t>
  </si>
  <si>
    <t>Rejected</t>
  </si>
  <si>
    <t>Availability</t>
  </si>
  <si>
    <t>Performance</t>
  </si>
  <si>
    <t>Quality</t>
  </si>
  <si>
    <t>OEE</t>
  </si>
  <si>
    <t>2</t>
  </si>
  <si>
    <t>REAR SOLDADO</t>
  </si>
  <si>
    <t>WHG9C-5K067-AD</t>
  </si>
  <si>
    <t>1</t>
  </si>
  <si>
    <t>FRONTAL SOLDADO</t>
  </si>
  <si>
    <t>LINEA</t>
  </si>
  <si>
    <t>PARTE</t>
  </si>
  <si>
    <t>CT</t>
  </si>
  <si>
    <t>RWK</t>
  </si>
  <si>
    <t>SCRAP</t>
  </si>
  <si>
    <t>FTT</t>
  </si>
  <si>
    <t>DÍA:</t>
  </si>
  <si>
    <t>TM</t>
  </si>
  <si>
    <t>OBJ JPH</t>
  </si>
  <si>
    <t>DISP</t>
  </si>
  <si>
    <t>EFF</t>
  </si>
  <si>
    <t>TP</t>
  </si>
  <si>
    <t>TO</t>
  </si>
  <si>
    <t>TOTAL PROD</t>
  </si>
  <si>
    <t>Row Labels</t>
  </si>
  <si>
    <t>Grand Total</t>
  </si>
  <si>
    <t>Sum of TOTAL</t>
  </si>
  <si>
    <t>Turno</t>
  </si>
  <si>
    <t>CAMBER LINK</t>
  </si>
  <si>
    <t>WDG9C-5500-AXB</t>
  </si>
  <si>
    <t>INTEGRAL LINK</t>
  </si>
  <si>
    <t>WDG9C-5A972-BXA</t>
  </si>
  <si>
    <t>TOE LINK</t>
  </si>
  <si>
    <t>WDG9C-5K898-AXE</t>
  </si>
  <si>
    <t>TOYOTA SOLDADO</t>
  </si>
  <si>
    <t>W65240-04181</t>
  </si>
  <si>
    <t>BUSHING CAMBER LINK</t>
  </si>
  <si>
    <t>DG9C-5500-AXB</t>
  </si>
  <si>
    <t>BUSHING DAIMLER</t>
  </si>
  <si>
    <t>A167350250004</t>
  </si>
  <si>
    <t>BUSHING FRONT</t>
  </si>
  <si>
    <t>HG9C-5C145-BG</t>
  </si>
  <si>
    <t>HG9C-5C145-CF</t>
  </si>
  <si>
    <t>BUSHING INTEGRAL LINK</t>
  </si>
  <si>
    <t>DG9C-5A972-AXD</t>
  </si>
  <si>
    <t>BUSHING REAR</t>
  </si>
  <si>
    <t>HG9C-5K067-AD</t>
  </si>
  <si>
    <t>BUSHING TOE LINK</t>
  </si>
  <si>
    <t>DG9C-5K898-AXE</t>
  </si>
  <si>
    <t>WHG9C-5C145-BG</t>
  </si>
  <si>
    <t>WHG9C-5C145-CF</t>
  </si>
  <si>
    <t>WDG9C-5A972-AXD</t>
  </si>
  <si>
    <t>DG9C-5A972-BXA</t>
  </si>
  <si>
    <t>HG9C-5K067-BE</t>
  </si>
  <si>
    <t>5000-10-50</t>
  </si>
  <si>
    <t>11/10/2018</t>
  </si>
  <si>
    <t>HG9C-5K067-AE</t>
  </si>
  <si>
    <t>WHG9C-5K067-AE</t>
  </si>
  <si>
    <t>2018-11-10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</si>
</sst>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mm/dd/yyyy\ hh:mm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">
    <xf numFmtId="0" fontId="0" fillId="0" borderId="0" xfId="0"/>
    <xf numFmtId="22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NumberFormat="1"/>
    <xf numFmtId="9" fontId="0" fillId="0" borderId="0" xfId="1" applyFont="1"/>
    <xf numFmtId="10" fontId="0" fillId="0" borderId="0" xfId="1" applyNumberFormat="1" applyFont="1"/>
    <xf numFmtId="1" fontId="0" fillId="0" borderId="0" xfId="1" applyNumberFormat="1" applyFont="1"/>
    <xf numFmtId="164" fontId="0" fillId="0" borderId="0" xfId="0" applyNumberFormat="1"/>
    <xf numFmtId="10" fontId="2" fillId="2" borderId="1" xfId="1" applyNumberFormat="1" applyFont="1" applyFill="1" applyBorder="1" applyAlignment="1">
      <alignment horizontal="center" vertical="center"/>
    </xf>
    <xf numFmtId="9" fontId="2" fillId="2" borderId="1" xfId="1" applyFont="1" applyFill="1" applyBorder="1" applyAlignment="1">
      <alignment horizontal="center" vertical="center"/>
    </xf>
    <xf numFmtId="9" fontId="2" fillId="3" borderId="1" xfId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center" vertical="center"/>
    </xf>
    <xf numFmtId="10" fontId="2" fillId="4" borderId="1" xfId="1" applyNumberFormat="1" applyFont="1" applyFill="1" applyBorder="1" applyAlignment="1">
      <alignment horizontal="center" vertical="center"/>
    </xf>
    <xf numFmtId="1" fontId="2" fillId="4" borderId="1" xfId="1" applyNumberFormat="1" applyFont="1" applyFill="1" applyBorder="1" applyAlignment="1">
      <alignment horizontal="center" vertical="center"/>
    </xf>
    <xf numFmtId="164" fontId="2" fillId="2" borderId="1" xfId="1" applyNumberFormat="1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49" fontId="0" fillId="0" borderId="0" xfId="0" applyNumberFormat="1"/>
    <xf numFmtId="49" fontId="0" fillId="5" borderId="0" xfId="0" applyNumberFormat="1" applyFill="1"/>
    <xf numFmtId="49" fontId="2" fillId="4" borderId="1" xfId="0" applyNumberFormat="1" applyFont="1" applyFill="1" applyBorder="1" applyAlignment="1">
      <alignment horizontal="center" vertical="center"/>
    </xf>
    <xf numFmtId="2" fontId="0" fillId="0" borderId="0" xfId="1" applyNumberFormat="1" applyFont="1"/>
    <xf numFmtId="165" fontId="0" fillId="0" borderId="0" xfId="0" applyNumberFormat="1"/>
  </cellXfs>
  <cellStyles count="2">
    <cellStyle name="Normal" xfId="0" builtinId="0"/>
    <cellStyle name="Porcentaje" xfId="1" builtinId="5"/>
  </cellStyles>
  <dxfs count="2">
    <dxf>
      <numFmt numFmtId="27" formatCode="dd/mm/yyyy\ hh:mm"/>
    </dxf>
    <dxf>
      <numFmt numFmtId="27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152400</xdr:rowOff>
        </xdr:from>
        <xdr:to>
          <xdr:col>3</xdr:col>
          <xdr:colOff>0</xdr:colOff>
          <xdr:row>2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lian Covarrubias" refreshedDate="43416.484957175926" createdVersion="5" refreshedVersion="4" minRefreshableVersion="3" recordCount="34">
  <cacheSource type="worksheet">
    <worksheetSource ref="A1:U1048576" sheet="Datos"/>
  </cacheSource>
  <cacheFields count="21">
    <cacheField name="ID" numFmtId="0">
      <sharedItems containsString="0" containsBlank="1" containsNumber="1" containsInteger="1" minValue="989" maxValue="1011"/>
    </cacheField>
    <cacheField name="Asset_ID" numFmtId="0">
      <sharedItems containsString="0" containsBlank="1" containsNumber="1" containsInteger="1" minValue="18" maxValue="80"/>
    </cacheField>
    <cacheField name="ProductionDate" numFmtId="0">
      <sharedItems containsBlank="1"/>
    </cacheField>
    <cacheField name="Shift" numFmtId="0">
      <sharedItems containsBlank="1" count="4">
        <s v="1"/>
        <s v="2"/>
        <m/>
        <s v="3" u="1"/>
      </sharedItems>
    </cacheField>
    <cacheField name="Name" numFmtId="0">
      <sharedItems containsBlank="1" count="14">
        <s v="BUSHING FRONT"/>
        <s v="REAR SOLDADO"/>
        <s v="FRONTAL SOLDADO"/>
        <s v="BUSHING REAR"/>
        <s v="INTEGRAL LINK"/>
        <s v="TOE LINK"/>
        <s v="CAMBER LINK"/>
        <s v="BUSHING INTEGRAL LINK"/>
        <s v="BUSHING TOE LINK"/>
        <s v="BUSHING CAMBER LINK"/>
        <s v="TOYOTA SOLDADO"/>
        <s v="BUSHING DAIMLER"/>
        <m/>
        <s v="DAIMLER" u="1"/>
      </sharedItems>
    </cacheField>
    <cacheField name="ReportID" numFmtId="0">
      <sharedItems containsString="0" containsBlank="1" containsNumber="1" containsInteger="1" minValue="989" maxValue="1011"/>
    </cacheField>
    <cacheField name="Part" numFmtId="0">
      <sharedItems containsBlank="1" count="26">
        <s v="HG9C-5C145-CF"/>
        <s v="WHG9C-5K067-AD"/>
        <s v="WHG9C-5K067-AE"/>
        <s v="WHG9C-5C145-CF"/>
        <s v="WHG9C-5C145-BG"/>
        <s v="HG9C-5K067-BE"/>
        <s v="HG9C-5K067-AD"/>
        <s v="WDG9C-5A972-BXA"/>
        <s v="WDG9C-5A972-AXD"/>
        <s v="WDG9C-5K898-AXE"/>
        <s v="WDG9C-5500-AXB"/>
        <s v="DG9C-5A972-BXA"/>
        <s v="DG9C-5K898-AXE"/>
        <s v="DG9C-5500-AXB"/>
        <s v="5000-10-50"/>
        <s v="A167350250004"/>
        <s v="HG9C-5C145-BG"/>
        <s v="HG9C-5K067-AE"/>
        <s v="DG9C-5A972-AXD"/>
        <s v="W65240-04181"/>
        <m/>
        <s v="WG3GC-5K067-BF" u="1"/>
        <s v="WHG9C-5K067-BE" u="1"/>
        <s v="WA1673521200" u="1"/>
        <s v="WHG9C-5C145-BF" u="1"/>
        <s v="WHG9C-5C145-CE" u="1"/>
      </sharedItems>
    </cacheField>
    <cacheField name="JPH" numFmtId="0">
      <sharedItems containsString="0" containsBlank="1" containsNumber="1" containsInteger="1" minValue="52" maxValue="156"/>
    </cacheField>
    <cacheField name="TOTAL" numFmtId="0">
      <sharedItems containsString="0" containsBlank="1" containsNumber="1" containsInteger="1" minValue="-63" maxValue="1066"/>
    </cacheField>
    <cacheField name="Start" numFmtId="0">
      <sharedItems containsNonDate="0" containsDate="1" containsString="0" containsBlank="1" minDate="2018-11-10T06:00:00" maxDate="2018-11-10T20:00:56"/>
    </cacheField>
    <cacheField name="End" numFmtId="0">
      <sharedItems containsNonDate="0" containsDate="1" containsString="0" containsBlank="1" minDate="2018-11-10T08:06:29" maxDate="2018-11-10T21:30:00"/>
    </cacheField>
    <cacheField name="Hours" numFmtId="0">
      <sharedItems containsString="0" containsBlank="1" containsNumber="1" minValue="0.674722222222222" maxValue="8"/>
    </cacheField>
    <cacheField name="PPT" numFmtId="0">
      <sharedItems containsString="0" containsBlank="1" containsNumber="1" minValue="8.0555555555555901E-3" maxValue="7.7949999999999999"/>
    </cacheField>
    <cacheField name="OT" numFmtId="0">
      <sharedItems containsString="0" containsBlank="1" containsNumber="1" minValue="8.0555555555555901E-3" maxValue="6.8916666666666702"/>
    </cacheField>
    <cacheField name="Downtime" numFmtId="0">
      <sharedItems containsString="0" containsBlank="1" containsNumber="1" minValue="0" maxValue="274.58"/>
    </cacheField>
    <cacheField name="PlannedDowntime" numFmtId="0">
      <sharedItems containsString="0" containsBlank="1" containsNumber="1" minValue="0" maxValue="131.1"/>
    </cacheField>
    <cacheField name="Rejected" numFmtId="0">
      <sharedItems containsString="0" containsBlank="1" containsNumber="1" containsInteger="1" minValue="0" maxValue="25"/>
    </cacheField>
    <cacheField name="Availability" numFmtId="0">
      <sharedItems containsString="0" containsBlank="1" containsNumber="1" minValue="0.38982222222222201" maxValue="1"/>
    </cacheField>
    <cacheField name="Performance" numFmtId="0">
      <sharedItems containsString="0" containsBlank="1" containsNumber="1" minValue="-0.38992789428621499" maxValue="15.915119363395201"/>
    </cacheField>
    <cacheField name="Quality" numFmtId="0">
      <sharedItems containsString="0" containsBlank="1" containsNumber="1" minValue="0.90769230769230802" maxValue="1.0317460317460301"/>
    </cacheField>
    <cacheField name="OEE" numFmtId="0">
      <sharedItems containsString="0" containsBlank="1" containsNumber="1" minValue="-0.30069159065851497" maxValue="15.9151193633952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4">
  <r>
    <n v="989"/>
    <n v="18"/>
    <s v="2018-11-10"/>
    <x v="0"/>
    <x v="0"/>
    <n v="989"/>
    <x v="0"/>
    <n v="78"/>
    <n v="516"/>
    <d v="2018-11-10T06:00:00"/>
    <d v="2018-11-10T14:00:00"/>
    <n v="8"/>
    <n v="7.7949999999999999"/>
    <n v="6.6151666666666697"/>
    <n v="70.790000000000006"/>
    <n v="12.3"/>
    <n v="0"/>
    <n v="0.84864229206756503"/>
    <n v="1.00003294682189"/>
    <n v="1"/>
    <n v="0.84867025213401104"/>
  </r>
  <r>
    <n v="995"/>
    <n v="21"/>
    <s v="2018-11-10"/>
    <x v="0"/>
    <x v="1"/>
    <n v="995"/>
    <x v="1"/>
    <n v="78"/>
    <n v="233"/>
    <d v="2018-11-10T06:00:00"/>
    <d v="2018-11-10T11:13:43"/>
    <n v="5.2286111111111104"/>
    <n v="4.5952777777777802"/>
    <n v="2.9872777777777801"/>
    <n v="96.48"/>
    <n v="38"/>
    <n v="13"/>
    <n v="0.65007556066009797"/>
    <n v="0.99996709693386399"/>
    <n v="0.94420600858369097"/>
    <n v="0.61378505433392705"/>
  </r>
  <r>
    <n v="995"/>
    <n v="21"/>
    <s v="2018-11-10"/>
    <x v="0"/>
    <x v="1"/>
    <n v="995"/>
    <x v="2"/>
    <n v="78"/>
    <n v="-63"/>
    <d v="2018-11-10T11:13:43"/>
    <d v="2018-11-10T14:00:00"/>
    <n v="2.77138888888889"/>
    <n v="2.77138888888889"/>
    <n v="2.0713888888888898"/>
    <n v="42"/>
    <n v="0"/>
    <n v="2"/>
    <n v="0.74741906384684798"/>
    <n v="-0.38992789428621499"/>
    <n v="1.0317460317460301"/>
    <n v="-0.30069159065851497"/>
  </r>
  <r>
    <n v="999"/>
    <n v="22"/>
    <s v="2018-11-10"/>
    <x v="0"/>
    <x v="2"/>
    <n v="999"/>
    <x v="3"/>
    <n v="78"/>
    <n v="208"/>
    <d v="2018-11-10T06:00:00"/>
    <d v="2018-11-10T10:23:15"/>
    <n v="4.3875000000000002"/>
    <n v="3.6666666666666701"/>
    <n v="2.6666666666666701"/>
    <n v="60"/>
    <n v="43.25"/>
    <n v="12"/>
    <n v="0.72727272727272696"/>
    <n v="1"/>
    <n v="0.94230769230769196"/>
    <n v="0.68531468531468498"/>
  </r>
  <r>
    <n v="999"/>
    <n v="22"/>
    <s v="2018-11-10"/>
    <x v="0"/>
    <x v="2"/>
    <n v="999"/>
    <x v="4"/>
    <n v="78"/>
    <n v="130"/>
    <d v="2018-11-10T10:23:15"/>
    <d v="2018-11-10T12:10:57"/>
    <n v="1.7949999999999999"/>
    <n v="1.6666666666666701"/>
    <n v="1.6666666666666701"/>
    <n v="0"/>
    <n v="7.7"/>
    <n v="12"/>
    <n v="1"/>
    <n v="1"/>
    <n v="0.90769230769230802"/>
    <n v="0.90769230769230802"/>
  </r>
  <r>
    <n v="999"/>
    <n v="22"/>
    <s v="2018-11-10"/>
    <x v="0"/>
    <x v="2"/>
    <n v="999"/>
    <x v="3"/>
    <n v="78"/>
    <n v="124"/>
    <d v="2018-11-10T12:10:57"/>
    <d v="2018-11-10T14:00:00"/>
    <n v="1.8174999999999999"/>
    <n v="1.8174999999999999"/>
    <n v="1.58968333333333"/>
    <n v="13.669"/>
    <n v="0"/>
    <n v="1"/>
    <n v="0.87465382851902795"/>
    <n v="1.0000379046625201"/>
    <n v="0.99193548387096797"/>
    <n v="0.86763305470320595"/>
  </r>
  <r>
    <n v="990"/>
    <n v="23"/>
    <s v="2018-11-10"/>
    <x v="0"/>
    <x v="3"/>
    <n v="990"/>
    <x v="5"/>
    <n v="78"/>
    <n v="128"/>
    <d v="2018-11-10T06:00:00"/>
    <d v="2018-11-10T08:29:59"/>
    <n v="2.49972222222222"/>
    <n v="2.2163888888888899"/>
    <n v="1.5550555555555601"/>
    <n v="39.68"/>
    <n v="17"/>
    <n v="0"/>
    <n v="0.70161674395287599"/>
    <n v="1.0552842534550899"/>
    <n v="1"/>
    <n v="0.74040510185390496"/>
  </r>
  <r>
    <n v="990"/>
    <n v="23"/>
    <s v="2018-11-10"/>
    <x v="0"/>
    <x v="3"/>
    <n v="990"/>
    <x v="6"/>
    <n v="78"/>
    <n v="229"/>
    <d v="2018-11-10T08:29:59"/>
    <d v="2018-11-10T14:00:00"/>
    <n v="5.5002777777777796"/>
    <n v="3.31527777777778"/>
    <n v="3.0219444444444399"/>
    <n v="17.600000000000001"/>
    <n v="131.1"/>
    <n v="0"/>
    <n v="0.91152073732718897"/>
    <n v="0.97152594624788802"/>
    <n v="1"/>
    <n v="0.88556604685636897"/>
  </r>
  <r>
    <n v="998"/>
    <n v="37"/>
    <s v="2018-11-10"/>
    <x v="0"/>
    <x v="4"/>
    <n v="998"/>
    <x v="7"/>
    <n v="141"/>
    <n v="282"/>
    <d v="2018-11-10T06:00:00"/>
    <d v="2018-11-10T08:06:29"/>
    <n v="2.10805555555556"/>
    <n v="2.0667222222222201"/>
    <n v="2.0000555555555599"/>
    <n v="4"/>
    <n v="2.48"/>
    <n v="0"/>
    <n v="0.96774280261283296"/>
    <n v="0.99997222299380595"/>
    <n v="1"/>
    <n v="0.96771592161500997"/>
  </r>
  <r>
    <n v="998"/>
    <n v="37"/>
    <s v="2018-11-10"/>
    <x v="0"/>
    <x v="4"/>
    <n v="998"/>
    <x v="8"/>
    <n v="141"/>
    <n v="643"/>
    <d v="2018-11-10T08:06:29"/>
    <d v="2018-11-10T14:00:00"/>
    <n v="5.89194444444444"/>
    <n v="5.1966111111111104"/>
    <n v="4.5601111111111097"/>
    <n v="38.19"/>
    <n v="41.72"/>
    <n v="2"/>
    <n v="0.87751633008691599"/>
    <n v="1.0000378448743801"/>
    <n v="0.99688958009331297"/>
    <n v="0.87481999202517202"/>
  </r>
  <r>
    <n v="997"/>
    <n v="42"/>
    <s v="2018-11-10"/>
    <x v="0"/>
    <x v="5"/>
    <n v="997"/>
    <x v="9"/>
    <n v="156"/>
    <n v="713"/>
    <d v="2018-11-10T06:00:00"/>
    <d v="2018-11-10T14:00:00"/>
    <n v="8"/>
    <n v="7.2539999999999996"/>
    <n v="4.5706666666666704"/>
    <n v="161"/>
    <n v="44.76"/>
    <n v="25"/>
    <n v="0.63008914621817802"/>
    <n v="0.99996634054393696"/>
    <n v="0.96493688639551201"/>
    <n v="0.60797579408001201"/>
  </r>
  <r>
    <n v="996"/>
    <n v="43"/>
    <s v="2018-11-10"/>
    <x v="0"/>
    <x v="6"/>
    <n v="996"/>
    <x v="10"/>
    <n v="156"/>
    <n v="854"/>
    <d v="2018-11-10T06:00:00"/>
    <d v="2018-11-10T14:00:00"/>
    <n v="8"/>
    <n v="7.2933333333333303"/>
    <n v="5.4744999999999999"/>
    <n v="109.13"/>
    <n v="42.4"/>
    <n v="9"/>
    <n v="0.75061700182815405"/>
    <n v="0.99997423953949705"/>
    <n v="0.98946135831381699"/>
    <n v="0.74268738574040205"/>
  </r>
  <r>
    <n v="991"/>
    <n v="44"/>
    <s v="2018-11-10"/>
    <x v="0"/>
    <x v="7"/>
    <n v="991"/>
    <x v="11"/>
    <n v="156"/>
    <n v="1066"/>
    <d v="2018-11-10T06:00:00"/>
    <d v="2018-11-10T14:00:00"/>
    <n v="8"/>
    <n v="7.5"/>
    <n v="6.8333333333333304"/>
    <n v="40"/>
    <n v="30"/>
    <n v="0"/>
    <n v="0.91111111111111098"/>
    <n v="1"/>
    <n v="1"/>
    <n v="0.91111111111111098"/>
  </r>
  <r>
    <n v="992"/>
    <n v="45"/>
    <s v="2018-11-10"/>
    <x v="0"/>
    <x v="8"/>
    <n v="992"/>
    <x v="12"/>
    <n v="156"/>
    <n v="944"/>
    <d v="2018-11-10T06:00:00"/>
    <d v="2018-11-10T14:00:00"/>
    <n v="8"/>
    <n v="7.5"/>
    <n v="6.0513333333333303"/>
    <n v="86.92"/>
    <n v="30"/>
    <n v="0"/>
    <n v="0.80684444444444403"/>
    <n v="0.99999152549554704"/>
    <n v="1"/>
    <n v="0.80683760683760697"/>
  </r>
  <r>
    <n v="993"/>
    <n v="46"/>
    <s v="2018-11-10"/>
    <x v="0"/>
    <x v="9"/>
    <n v="993"/>
    <x v="13"/>
    <n v="156"/>
    <n v="904"/>
    <d v="2018-11-10T06:00:00"/>
    <d v="2018-11-10T14:00:00"/>
    <n v="8"/>
    <n v="7.1416666666666702"/>
    <n v="5.7949999999999999"/>
    <n v="80.8"/>
    <n v="51.5"/>
    <n v="0"/>
    <n v="0.81143523920653404"/>
    <n v="0.99997787659565096"/>
    <n v="1"/>
    <n v="0.811417287496634"/>
  </r>
  <r>
    <n v="1000"/>
    <n v="48"/>
    <s v="2018-11-10"/>
    <x v="0"/>
    <x v="10"/>
    <n v="1000"/>
    <x v="14"/>
    <n v="52"/>
    <n v="138"/>
    <d v="2018-11-10T06:00:00"/>
    <d v="2018-11-10T14:00:00"/>
    <n v="8"/>
    <n v="6.0333333333333297"/>
    <n v="2.65"/>
    <n v="203"/>
    <n v="118"/>
    <n v="3"/>
    <n v="0.43922651933701701"/>
    <n v="1.00145137880987"/>
    <n v="0.97826086956521696"/>
    <n v="0.43030174245643898"/>
  </r>
  <r>
    <n v="994"/>
    <n v="80"/>
    <s v="2018-11-10"/>
    <x v="0"/>
    <x v="11"/>
    <n v="994"/>
    <x v="15"/>
    <n v="144"/>
    <n v="421"/>
    <d v="2018-11-10T06:00:00"/>
    <d v="2018-11-10T14:00:00"/>
    <n v="8"/>
    <n v="7.5"/>
    <n v="2.9236666666666702"/>
    <n v="274.58"/>
    <n v="30"/>
    <n v="0"/>
    <n v="0.38982222222222201"/>
    <n v="0.99998099798578699"/>
    <n v="1"/>
    <n v="0.389814814814815"/>
  </r>
  <r>
    <n v="1004"/>
    <n v="18"/>
    <s v="2018-11-10"/>
    <x v="1"/>
    <x v="0"/>
    <n v="1004"/>
    <x v="0"/>
    <n v="78"/>
    <n v="83"/>
    <d v="2018-11-10T14:00:00"/>
    <d v="2018-11-10T15:27:38"/>
    <n v="1.46055555555556"/>
    <n v="1.0772222222222201"/>
    <n v="0.89888888888888896"/>
    <n v="10.7"/>
    <n v="23"/>
    <n v="0"/>
    <n v="0.83445074780814898"/>
    <n v="1.1837976609299199"/>
    <n v="1"/>
    <n v="0.987820843416511"/>
  </r>
  <r>
    <n v="1004"/>
    <n v="18"/>
    <s v="2018-11-10"/>
    <x v="1"/>
    <x v="0"/>
    <n v="1004"/>
    <x v="16"/>
    <n v="78"/>
    <n v="139"/>
    <d v="2018-11-10T15:27:38"/>
    <d v="2018-11-10T18:54:07"/>
    <n v="3.4413888888888899"/>
    <n v="2.60805555555556"/>
    <n v="1.8530555555555599"/>
    <n v="45.3"/>
    <n v="50"/>
    <n v="0"/>
    <n v="0.71051230162956602"/>
    <n v="0.96168259861858996"/>
    <n v="1"/>
    <n v="0.68328731658159703"/>
  </r>
  <r>
    <n v="1004"/>
    <n v="18"/>
    <s v="2018-11-10"/>
    <x v="1"/>
    <x v="0"/>
    <n v="1004"/>
    <x v="0"/>
    <n v="78"/>
    <n v="145"/>
    <d v="2018-11-10T18:54:07"/>
    <d v="2018-11-10T21:30:00"/>
    <n v="2.5980555555555598"/>
    <n v="2.5980555555555598"/>
    <n v="1.9580555555555601"/>
    <n v="38.4"/>
    <n v="0"/>
    <n v="0"/>
    <n v="0.75366192665454901"/>
    <n v="0.94939816886192296"/>
    <n v="1"/>
    <n v="0.71552525310677795"/>
  </r>
  <r>
    <n v="1002"/>
    <n v="21"/>
    <s v="2018-11-10"/>
    <x v="1"/>
    <x v="1"/>
    <n v="1002"/>
    <x v="2"/>
    <n v="78"/>
    <n v="430"/>
    <d v="2018-11-10T14:00:00"/>
    <d v="2018-11-10T21:30:00"/>
    <n v="7.5"/>
    <n v="6.8666666666666698"/>
    <n v="5.6583333333333297"/>
    <n v="72.5"/>
    <n v="38"/>
    <n v="11"/>
    <n v="0.82402912621359203"/>
    <n v="0.97428344851025295"/>
    <n v="0.97441860465116303"/>
    <n v="0.78230022404779698"/>
  </r>
  <r>
    <n v="1003"/>
    <n v="22"/>
    <s v="2018-11-10"/>
    <x v="1"/>
    <x v="2"/>
    <n v="1003"/>
    <x v="3"/>
    <n v="78"/>
    <n v="358"/>
    <d v="2018-11-10T14:00:00"/>
    <d v="2018-11-10T21:30:00"/>
    <n v="7.5"/>
    <n v="6.8666666666666698"/>
    <n v="5.35"/>
    <n v="91"/>
    <n v="38"/>
    <n v="19"/>
    <n v="0.779126213592233"/>
    <n v="0.85789599808291395"/>
    <n v="0.94692737430167595"/>
    <n v="0.63293502613890995"/>
  </r>
  <r>
    <n v="1008"/>
    <n v="23"/>
    <s v="2018-11-10"/>
    <x v="1"/>
    <x v="3"/>
    <n v="1008"/>
    <x v="6"/>
    <n v="78"/>
    <n v="10"/>
    <d v="2018-11-10T14:00:00"/>
    <d v="2018-11-10T14:40:29"/>
    <n v="0.674722222222222"/>
    <n v="8.0555555555555901E-3"/>
    <n v="8.0555555555555901E-3"/>
    <n v="0"/>
    <n v="40"/>
    <n v="0"/>
    <n v="1"/>
    <n v="15.915119363395201"/>
    <n v="1"/>
    <n v="15.915119363395201"/>
  </r>
  <r>
    <n v="1008"/>
    <n v="23"/>
    <s v="2018-11-10"/>
    <x v="1"/>
    <x v="3"/>
    <n v="1008"/>
    <x v="17"/>
    <n v="78"/>
    <n v="349"/>
    <d v="2018-11-10T14:40:29"/>
    <d v="2018-11-10T21:30:00"/>
    <n v="6.8252777777777798"/>
    <n v="5.3169444444444496"/>
    <n v="4.58361111111111"/>
    <n v="44"/>
    <n v="90.5"/>
    <n v="0"/>
    <n v="0.86207617156888405"/>
    <n v="0.97616461473197402"/>
    <n v="1"/>
    <n v="0.84152825388915498"/>
  </r>
  <r>
    <n v="1011"/>
    <n v="37"/>
    <s v="2018-11-10"/>
    <x v="1"/>
    <x v="4"/>
    <n v="1011"/>
    <x v="8"/>
    <n v="141"/>
    <n v="973"/>
    <d v="2018-11-10T14:00:00"/>
    <d v="2018-11-10T21:30:00"/>
    <n v="7.5"/>
    <n v="7"/>
    <n v="6.8916666666666702"/>
    <n v="6.5"/>
    <n v="30"/>
    <n v="5"/>
    <n v="0.98452380952380902"/>
    <n v="1.00131209961666"/>
    <n v="0.99486125385405999"/>
    <n v="0.98074974670719395"/>
  </r>
  <r>
    <n v="1001"/>
    <n v="42"/>
    <s v="2018-11-10"/>
    <x v="1"/>
    <x v="5"/>
    <n v="1001"/>
    <x v="9"/>
    <n v="156"/>
    <n v="831"/>
    <d v="2018-11-10T14:00:00"/>
    <d v="2018-11-10T21:30:00"/>
    <n v="7.5"/>
    <n v="7"/>
    <n v="5.4516666666666698"/>
    <n v="92.9"/>
    <n v="30"/>
    <n v="10"/>
    <n v="0.77880952380952395"/>
    <n v="0.97711826540930802"/>
    <n v="0.98796630565583599"/>
    <n v="0.75183150183150205"/>
  </r>
  <r>
    <n v="1005"/>
    <n v="44"/>
    <s v="2018-11-10"/>
    <x v="1"/>
    <x v="7"/>
    <n v="1005"/>
    <x v="11"/>
    <n v="156"/>
    <n v="687"/>
    <d v="2018-11-10T14:00:00"/>
    <d v="2018-11-10T20:00:56"/>
    <n v="6.0155555555555598"/>
    <n v="4.9522222222222201"/>
    <n v="4.4422222222222203"/>
    <n v="30.6"/>
    <n v="63.8"/>
    <n v="0"/>
    <n v="0.89701592999775603"/>
    <n v="0.99136106514795896"/>
    <n v="1"/>
    <n v="0.88926666781726305"/>
  </r>
  <r>
    <n v="1005"/>
    <n v="44"/>
    <s v="2018-11-10"/>
    <x v="1"/>
    <x v="7"/>
    <n v="1005"/>
    <x v="18"/>
    <n v="156"/>
    <n v="161"/>
    <d v="2018-11-10T20:00:56"/>
    <d v="2018-11-10T21:30:00"/>
    <n v="1.48444444444444"/>
    <n v="0.98444444444444401"/>
    <n v="0.98444444444444401"/>
    <n v="0"/>
    <n v="30"/>
    <n v="0"/>
    <n v="1"/>
    <n v="1.0483590901198101"/>
    <n v="1"/>
    <n v="1.0483590901198101"/>
  </r>
  <r>
    <n v="1006"/>
    <n v="45"/>
    <s v="2018-11-10"/>
    <x v="1"/>
    <x v="8"/>
    <n v="1006"/>
    <x v="12"/>
    <n v="156"/>
    <n v="803"/>
    <d v="2018-11-10T14:00:00"/>
    <d v="2018-11-10T21:30:00"/>
    <n v="7.5"/>
    <n v="5.93333333333333"/>
    <n v="5.1666666666666696"/>
    <n v="46"/>
    <n v="94"/>
    <n v="0"/>
    <n v="0.87078651685393305"/>
    <n v="0.99627791563275403"/>
    <n v="1"/>
    <n v="0.86754537597234205"/>
  </r>
  <r>
    <n v="1007"/>
    <n v="46"/>
    <s v="2018-11-10"/>
    <x v="1"/>
    <x v="9"/>
    <n v="1007"/>
    <x v="13"/>
    <n v="156"/>
    <n v="802"/>
    <d v="2018-11-10T14:00:00"/>
    <d v="2018-11-10T21:30:00"/>
    <n v="7.5"/>
    <n v="6.1783333333333301"/>
    <n v="5.1283333333333303"/>
    <n v="63"/>
    <n v="79.3"/>
    <n v="0"/>
    <n v="0.83005125438359895"/>
    <n v="1.0024749381265501"/>
    <n v="1"/>
    <n v="0.83210557988006095"/>
  </r>
  <r>
    <n v="1010"/>
    <n v="48"/>
    <s v="2018-11-10"/>
    <x v="1"/>
    <x v="10"/>
    <n v="1010"/>
    <x v="14"/>
    <n v="52"/>
    <n v="150"/>
    <d v="2018-11-10T14:00:00"/>
    <d v="2018-11-10T19:51:36"/>
    <n v="5.86"/>
    <n v="4.8099999999999996"/>
    <n v="3.3433333333333302"/>
    <n v="88"/>
    <n v="63"/>
    <n v="2"/>
    <n v="0.69507969507969503"/>
    <n v="0.86279622670450196"/>
    <n v="0.98666666666666702"/>
    <n v="0.59171597633136097"/>
  </r>
  <r>
    <n v="1010"/>
    <n v="48"/>
    <s v="2018-11-10"/>
    <x v="1"/>
    <x v="10"/>
    <n v="1010"/>
    <x v="19"/>
    <n v="63"/>
    <n v="2"/>
    <d v="2018-11-10T19:51:36"/>
    <d v="2018-11-10T21:30:00"/>
    <n v="1.64"/>
    <n v="0.17333333333333301"/>
    <n v="0.17333333333333301"/>
    <n v="0"/>
    <n v="88"/>
    <n v="0"/>
    <n v="1"/>
    <n v="0.183150183150183"/>
    <n v="1"/>
    <n v="0.183150183150183"/>
  </r>
  <r>
    <n v="1009"/>
    <n v="80"/>
    <s v="2018-11-10"/>
    <x v="1"/>
    <x v="11"/>
    <n v="1009"/>
    <x v="15"/>
    <n v="144"/>
    <n v="348"/>
    <d v="2018-11-10T14:00:00"/>
    <d v="2018-11-10T21:30:00"/>
    <n v="7.5"/>
    <n v="6.1166666666666698"/>
    <n v="2.43333333333333"/>
    <n v="221"/>
    <n v="83"/>
    <n v="0"/>
    <n v="0.39782016348773902"/>
    <n v="0.99315068493150704"/>
    <n v="1"/>
    <n v="0.395095367847412"/>
  </r>
  <r>
    <m/>
    <m/>
    <m/>
    <x v="2"/>
    <x v="12"/>
    <m/>
    <x v="20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5" indent="0" outline="1" outlineData="1" multipleFieldFilters="0" colHeaderCaption="Turno">
  <location ref="B4:E38" firstHeaderRow="1" firstDataRow="2" firstDataCol="1"/>
  <pivotFields count="21">
    <pivotField showAll="0"/>
    <pivotField showAll="0"/>
    <pivotField showAll="0"/>
    <pivotField axis="axisCol" showAll="0">
      <items count="5">
        <item x="0"/>
        <item x="1"/>
        <item m="1" x="3"/>
        <item h="1" x="2"/>
        <item t="default"/>
      </items>
    </pivotField>
    <pivotField axis="axisRow" showAll="0">
      <items count="15">
        <item x="2"/>
        <item x="1"/>
        <item sd="0" x="12"/>
        <item x="0"/>
        <item x="3"/>
        <item x="4"/>
        <item x="5"/>
        <item x="6"/>
        <item x="7"/>
        <item x="8"/>
        <item x="9"/>
        <item x="10"/>
        <item m="1" x="13"/>
        <item x="11"/>
        <item t="default"/>
      </items>
    </pivotField>
    <pivotField showAll="0"/>
    <pivotField axis="axisRow" showAll="0">
      <items count="27">
        <item m="1" x="21"/>
        <item m="1" x="24"/>
        <item m="1" x="25"/>
        <item x="1"/>
        <item m="1" x="22"/>
        <item x="20"/>
        <item x="0"/>
        <item x="16"/>
        <item x="3"/>
        <item x="6"/>
        <item x="7"/>
        <item x="9"/>
        <item x="10"/>
        <item x="11"/>
        <item x="12"/>
        <item x="13"/>
        <item x="19"/>
        <item m="1" x="23"/>
        <item x="15"/>
        <item x="5"/>
        <item x="14"/>
        <item x="2"/>
        <item x="4"/>
        <item x="8"/>
        <item x="17"/>
        <item x="18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4"/>
    <field x="6"/>
  </rowFields>
  <rowItems count="33">
    <i>
      <x/>
    </i>
    <i r="1">
      <x v="8"/>
    </i>
    <i r="1">
      <x v="22"/>
    </i>
    <i>
      <x v="1"/>
    </i>
    <i r="1">
      <x v="3"/>
    </i>
    <i r="1">
      <x v="21"/>
    </i>
    <i>
      <x v="3"/>
    </i>
    <i r="1">
      <x v="6"/>
    </i>
    <i r="1">
      <x v="7"/>
    </i>
    <i>
      <x v="4"/>
    </i>
    <i r="1">
      <x v="9"/>
    </i>
    <i r="1">
      <x v="19"/>
    </i>
    <i r="1">
      <x v="24"/>
    </i>
    <i>
      <x v="5"/>
    </i>
    <i r="1">
      <x v="10"/>
    </i>
    <i r="1">
      <x v="23"/>
    </i>
    <i>
      <x v="6"/>
    </i>
    <i r="1">
      <x v="11"/>
    </i>
    <i>
      <x v="7"/>
    </i>
    <i r="1">
      <x v="12"/>
    </i>
    <i>
      <x v="8"/>
    </i>
    <i r="1">
      <x v="13"/>
    </i>
    <i r="1">
      <x v="25"/>
    </i>
    <i>
      <x v="9"/>
    </i>
    <i r="1">
      <x v="14"/>
    </i>
    <i>
      <x v="10"/>
    </i>
    <i r="1">
      <x v="15"/>
    </i>
    <i>
      <x v="11"/>
    </i>
    <i r="1">
      <x v="16"/>
    </i>
    <i r="1">
      <x v="20"/>
    </i>
    <i>
      <x v="13"/>
    </i>
    <i r="1">
      <x v="18"/>
    </i>
    <i t="grand">
      <x/>
    </i>
  </rowItems>
  <colFields count="1">
    <field x="3"/>
  </colFields>
  <colItems count="3">
    <i>
      <x/>
    </i>
    <i>
      <x v="1"/>
    </i>
    <i t="grand">
      <x/>
    </i>
  </colItems>
  <dataFields count="1">
    <dataField name="Sum of TOTAL" fld="8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Reporte" connectionId="1" autoFormatId="16" applyNumberFormats="0" applyBorderFormats="0" applyFontFormats="0" applyPatternFormats="0" applyAlignmentFormats="0" applyWidthHeightFormats="0">
  <queryTableRefresh nextId="22">
    <queryTableFields count="21">
      <queryTableField id="1" name="ID" tableColumnId="1"/>
      <queryTableField id="2" name="Asset_ID" tableColumnId="2"/>
      <queryTableField id="3" name="ProductionDate" tableColumnId="3"/>
      <queryTableField id="4" name="Shift" tableColumnId="4"/>
      <queryTableField id="5" name="Name" tableColumnId="5"/>
      <queryTableField id="6" name="ReportID" tableColumnId="6"/>
      <queryTableField id="7" name="Part" tableColumnId="7"/>
      <queryTableField id="8" name="JPH" tableColumnId="8"/>
      <queryTableField id="9" name="TOTAL" tableColumnId="9"/>
      <queryTableField id="10" name="Start" tableColumnId="10"/>
      <queryTableField id="11" name="End" tableColumnId="11"/>
      <queryTableField id="12" name="Hours" tableColumnId="12"/>
      <queryTableField id="13" name="PPT" tableColumnId="13"/>
      <queryTableField id="14" name="OT" tableColumnId="14"/>
      <queryTableField id="15" name="Downtime" tableColumnId="15"/>
      <queryTableField id="16" name="PlannedDowntime" tableColumnId="16"/>
      <queryTableField id="17" name="Rejected" tableColumnId="17"/>
      <queryTableField id="18" name="Availability" tableColumnId="18"/>
      <queryTableField id="19" name="Performance" tableColumnId="19"/>
      <queryTableField id="20" name="Quality" tableColumnId="20"/>
      <queryTableField id="21" name="OEE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Reporte" displayName="Table_Query_from_Reporte" ref="A1:U34" tableType="queryTable" totalsRowShown="0">
  <autoFilter ref="A1:U34">
    <filterColumn colId="4">
      <filters>
        <filter val="REAR SOLDADO"/>
      </filters>
    </filterColumn>
  </autoFilter>
  <tableColumns count="21">
    <tableColumn id="1" uniqueName="1" name="ID" queryTableFieldId="1"/>
    <tableColumn id="2" uniqueName="2" name="Asset_ID" queryTableFieldId="2"/>
    <tableColumn id="3" uniqueName="3" name="ProductionDate" queryTableFieldId="3"/>
    <tableColumn id="4" uniqueName="4" name="Shift" queryTableFieldId="4"/>
    <tableColumn id="5" uniqueName="5" name="Name" queryTableFieldId="5"/>
    <tableColumn id="6" uniqueName="6" name="ReportID" queryTableFieldId="6"/>
    <tableColumn id="7" uniqueName="7" name="Part" queryTableFieldId="7"/>
    <tableColumn id="8" uniqueName="8" name="JPH" queryTableFieldId="8"/>
    <tableColumn id="9" uniqueName="9" name="TOTAL" queryTableFieldId="9"/>
    <tableColumn id="10" uniqueName="10" name="Start" queryTableFieldId="10" dataDxfId="1"/>
    <tableColumn id="11" uniqueName="11" name="End" queryTableFieldId="11" dataDxfId="0"/>
    <tableColumn id="12" uniqueName="12" name="Hours" queryTableFieldId="12"/>
    <tableColumn id="13" uniqueName="13" name="PPT" queryTableFieldId="13"/>
    <tableColumn id="14" uniqueName="14" name="OT" queryTableFieldId="14"/>
    <tableColumn id="15" uniqueName="15" name="Downtime" queryTableFieldId="15"/>
    <tableColumn id="16" uniqueName="16" name="PlannedDowntime" queryTableFieldId="16"/>
    <tableColumn id="17" uniqueName="17" name="Rejected" queryTableFieldId="17"/>
    <tableColumn id="18" uniqueName="18" name="Availability" queryTableFieldId="18"/>
    <tableColumn id="19" uniqueName="19" name="Performance" queryTableFieldId="19"/>
    <tableColumn id="20" uniqueName="20" name="Quality" queryTableFieldId="20"/>
    <tableColumn id="21" uniqueName="21" name="OEE" queryTableFieldId="2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34"/>
  <sheetViews>
    <sheetView workbookViewId="0">
      <selection activeCell="G18" sqref="G18"/>
    </sheetView>
  </sheetViews>
  <sheetFormatPr baseColWidth="10" defaultColWidth="9.140625" defaultRowHeight="15" x14ac:dyDescent="0.25"/>
  <cols>
    <col min="1" max="1" width="5.140625" bestFit="1" customWidth="1"/>
    <col min="2" max="2" width="11" bestFit="1" customWidth="1"/>
    <col min="3" max="3" width="17.28515625" bestFit="1" customWidth="1"/>
    <col min="4" max="4" width="7.42578125" bestFit="1" customWidth="1"/>
    <col min="5" max="5" width="22.85546875" bestFit="1" customWidth="1"/>
    <col min="6" max="6" width="11.140625" bestFit="1" customWidth="1"/>
    <col min="7" max="7" width="18.28515625" bestFit="1" customWidth="1"/>
    <col min="8" max="8" width="6.42578125" bestFit="1" customWidth="1"/>
    <col min="9" max="9" width="8.85546875" bestFit="1" customWidth="1"/>
    <col min="10" max="11" width="15.85546875" bestFit="1" customWidth="1"/>
    <col min="12" max="12" width="12" customWidth="1"/>
    <col min="13" max="14" width="12" bestFit="1" customWidth="1"/>
    <col min="15" max="15" width="12.5703125" bestFit="1" customWidth="1"/>
    <col min="16" max="16" width="20.140625" bestFit="1" customWidth="1"/>
    <col min="17" max="17" width="11.140625" bestFit="1" customWidth="1"/>
    <col min="18" max="18" width="13.28515625" bestFit="1" customWidth="1"/>
    <col min="19" max="19" width="14.7109375" bestFit="1" customWidth="1"/>
    <col min="20" max="20" width="12" customWidth="1"/>
    <col min="21" max="21" width="12.7109375" bestFit="1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</row>
    <row r="2" spans="1:21" hidden="1" x14ac:dyDescent="0.25">
      <c r="A2">
        <v>989</v>
      </c>
      <c r="B2">
        <v>18</v>
      </c>
      <c r="C2" t="s">
        <v>74</v>
      </c>
      <c r="D2" t="s">
        <v>24</v>
      </c>
      <c r="E2" t="s">
        <v>56</v>
      </c>
      <c r="F2">
        <v>989</v>
      </c>
      <c r="G2" t="s">
        <v>58</v>
      </c>
      <c r="H2">
        <v>78</v>
      </c>
      <c r="I2">
        <v>516</v>
      </c>
      <c r="J2" s="1">
        <v>43414.25</v>
      </c>
      <c r="K2" s="1">
        <v>43414.583333333336</v>
      </c>
      <c r="L2">
        <v>8</v>
      </c>
      <c r="M2">
        <v>7.7949999999999999</v>
      </c>
      <c r="N2">
        <v>6.6151666666666697</v>
      </c>
      <c r="O2">
        <v>70.790000000000006</v>
      </c>
      <c r="P2">
        <v>12.3</v>
      </c>
      <c r="Q2">
        <v>0</v>
      </c>
      <c r="R2">
        <v>0.84864229206756503</v>
      </c>
      <c r="S2">
        <v>1.00003294682189</v>
      </c>
      <c r="T2">
        <v>1</v>
      </c>
      <c r="U2">
        <v>0.84867025213401104</v>
      </c>
    </row>
    <row r="3" spans="1:21" x14ac:dyDescent="0.25">
      <c r="A3">
        <v>995</v>
      </c>
      <c r="B3">
        <v>21</v>
      </c>
      <c r="C3" t="s">
        <v>74</v>
      </c>
      <c r="D3" t="s">
        <v>24</v>
      </c>
      <c r="E3" t="s">
        <v>22</v>
      </c>
      <c r="F3">
        <v>995</v>
      </c>
      <c r="G3" t="s">
        <v>23</v>
      </c>
      <c r="H3">
        <v>78</v>
      </c>
      <c r="I3">
        <v>233</v>
      </c>
      <c r="J3" s="1">
        <v>43414.25</v>
      </c>
      <c r="K3" s="1">
        <v>43414.467858796299</v>
      </c>
      <c r="L3">
        <v>5.2286111111111104</v>
      </c>
      <c r="M3">
        <v>4.5952777777777802</v>
      </c>
      <c r="N3">
        <v>2.9872777777777801</v>
      </c>
      <c r="O3">
        <v>96.48</v>
      </c>
      <c r="P3">
        <v>38</v>
      </c>
      <c r="Q3">
        <v>13</v>
      </c>
      <c r="R3">
        <v>0.65007556066009797</v>
      </c>
      <c r="S3">
        <v>0.99996709693386399</v>
      </c>
      <c r="T3">
        <v>0.94420600858369097</v>
      </c>
      <c r="U3">
        <v>0.61378505433392705</v>
      </c>
    </row>
    <row r="4" spans="1:21" x14ac:dyDescent="0.25">
      <c r="A4">
        <v>995</v>
      </c>
      <c r="B4">
        <v>21</v>
      </c>
      <c r="C4" t="s">
        <v>74</v>
      </c>
      <c r="D4" t="s">
        <v>24</v>
      </c>
      <c r="E4" t="s">
        <v>22</v>
      </c>
      <c r="F4">
        <v>995</v>
      </c>
      <c r="G4" t="s">
        <v>73</v>
      </c>
      <c r="H4">
        <v>78</v>
      </c>
      <c r="I4">
        <v>-63</v>
      </c>
      <c r="J4" s="1">
        <v>43414.467858796299</v>
      </c>
      <c r="K4" s="1">
        <v>43414.583333333336</v>
      </c>
      <c r="L4">
        <v>2.77138888888889</v>
      </c>
      <c r="M4">
        <v>2.77138888888889</v>
      </c>
      <c r="N4">
        <v>2.0713888888888898</v>
      </c>
      <c r="O4">
        <v>42</v>
      </c>
      <c r="P4">
        <v>0</v>
      </c>
      <c r="Q4">
        <v>2</v>
      </c>
      <c r="R4">
        <v>0.74741906384684798</v>
      </c>
      <c r="S4">
        <v>-0.38992789428621499</v>
      </c>
      <c r="T4">
        <v>1.0317460317460301</v>
      </c>
      <c r="U4">
        <v>-0.30069159065851497</v>
      </c>
    </row>
    <row r="5" spans="1:21" hidden="1" x14ac:dyDescent="0.25">
      <c r="A5">
        <v>999</v>
      </c>
      <c r="B5">
        <v>22</v>
      </c>
      <c r="C5" t="s">
        <v>74</v>
      </c>
      <c r="D5" t="s">
        <v>24</v>
      </c>
      <c r="E5" t="s">
        <v>25</v>
      </c>
      <c r="F5">
        <v>999</v>
      </c>
      <c r="G5" t="s">
        <v>66</v>
      </c>
      <c r="H5">
        <v>78</v>
      </c>
      <c r="I5">
        <v>208</v>
      </c>
      <c r="J5" s="1">
        <v>43414.25</v>
      </c>
      <c r="K5" s="1">
        <v>43414.432812500003</v>
      </c>
      <c r="L5">
        <v>4.3875000000000002</v>
      </c>
      <c r="M5">
        <v>3.6666666666666701</v>
      </c>
      <c r="N5">
        <v>2.6666666666666701</v>
      </c>
      <c r="O5">
        <v>60</v>
      </c>
      <c r="P5">
        <v>43.25</v>
      </c>
      <c r="Q5">
        <v>12</v>
      </c>
      <c r="R5">
        <v>0.72727272727272696</v>
      </c>
      <c r="S5">
        <v>1</v>
      </c>
      <c r="T5">
        <v>0.94230769230769196</v>
      </c>
      <c r="U5">
        <v>0.68531468531468498</v>
      </c>
    </row>
    <row r="6" spans="1:21" hidden="1" x14ac:dyDescent="0.25">
      <c r="A6">
        <v>999</v>
      </c>
      <c r="B6">
        <v>22</v>
      </c>
      <c r="C6" t="s">
        <v>74</v>
      </c>
      <c r="D6" t="s">
        <v>24</v>
      </c>
      <c r="E6" t="s">
        <v>25</v>
      </c>
      <c r="F6">
        <v>999</v>
      </c>
      <c r="G6" t="s">
        <v>65</v>
      </c>
      <c r="H6">
        <v>78</v>
      </c>
      <c r="I6">
        <v>130</v>
      </c>
      <c r="J6" s="1">
        <v>43414.432812500003</v>
      </c>
      <c r="K6" s="1">
        <v>43414.507604166669</v>
      </c>
      <c r="L6">
        <v>1.7949999999999999</v>
      </c>
      <c r="M6">
        <v>1.6666666666666701</v>
      </c>
      <c r="N6">
        <v>1.6666666666666701</v>
      </c>
      <c r="O6">
        <v>0</v>
      </c>
      <c r="P6">
        <v>7.7</v>
      </c>
      <c r="Q6">
        <v>12</v>
      </c>
      <c r="R6">
        <v>1</v>
      </c>
      <c r="S6">
        <v>1</v>
      </c>
      <c r="T6">
        <v>0.90769230769230802</v>
      </c>
      <c r="U6">
        <v>0.90769230769230802</v>
      </c>
    </row>
    <row r="7" spans="1:21" hidden="1" x14ac:dyDescent="0.25">
      <c r="A7">
        <v>999</v>
      </c>
      <c r="B7">
        <v>22</v>
      </c>
      <c r="C7" t="s">
        <v>74</v>
      </c>
      <c r="D7" t="s">
        <v>24</v>
      </c>
      <c r="E7" t="s">
        <v>25</v>
      </c>
      <c r="F7">
        <v>999</v>
      </c>
      <c r="G7" t="s">
        <v>66</v>
      </c>
      <c r="H7">
        <v>78</v>
      </c>
      <c r="I7">
        <v>124</v>
      </c>
      <c r="J7" s="1">
        <v>43414.507604166669</v>
      </c>
      <c r="K7" s="1">
        <v>43414.583333333336</v>
      </c>
      <c r="L7">
        <v>1.8174999999999999</v>
      </c>
      <c r="M7">
        <v>1.8174999999999999</v>
      </c>
      <c r="N7">
        <v>1.58968333333333</v>
      </c>
      <c r="O7">
        <v>13.669</v>
      </c>
      <c r="P7">
        <v>0</v>
      </c>
      <c r="Q7">
        <v>1</v>
      </c>
      <c r="R7">
        <v>0.87465382851902795</v>
      </c>
      <c r="S7">
        <v>1.0000379046625201</v>
      </c>
      <c r="T7">
        <v>0.99193548387096797</v>
      </c>
      <c r="U7">
        <v>0.86763305470320595</v>
      </c>
    </row>
    <row r="8" spans="1:21" hidden="1" x14ac:dyDescent="0.25">
      <c r="A8">
        <v>990</v>
      </c>
      <c r="B8">
        <v>23</v>
      </c>
      <c r="C8" t="s">
        <v>74</v>
      </c>
      <c r="D8" t="s">
        <v>24</v>
      </c>
      <c r="E8" t="s">
        <v>61</v>
      </c>
      <c r="F8">
        <v>990</v>
      </c>
      <c r="G8" t="s">
        <v>69</v>
      </c>
      <c r="H8">
        <v>78</v>
      </c>
      <c r="I8">
        <v>128</v>
      </c>
      <c r="J8" s="1">
        <v>43414.25</v>
      </c>
      <c r="K8" s="1">
        <v>43414.354155092595</v>
      </c>
      <c r="L8">
        <v>2.49972222222222</v>
      </c>
      <c r="M8">
        <v>2.2163888888888899</v>
      </c>
      <c r="N8">
        <v>1.5550555555555601</v>
      </c>
      <c r="O8">
        <v>39.68</v>
      </c>
      <c r="P8">
        <v>17</v>
      </c>
      <c r="Q8">
        <v>0</v>
      </c>
      <c r="R8">
        <v>0.70161674395287599</v>
      </c>
      <c r="S8">
        <v>1.0552842534550899</v>
      </c>
      <c r="T8">
        <v>1</v>
      </c>
      <c r="U8">
        <v>0.74040510185390496</v>
      </c>
    </row>
    <row r="9" spans="1:21" hidden="1" x14ac:dyDescent="0.25">
      <c r="A9">
        <v>990</v>
      </c>
      <c r="B9">
        <v>23</v>
      </c>
      <c r="C9" t="s">
        <v>74</v>
      </c>
      <c r="D9" t="s">
        <v>24</v>
      </c>
      <c r="E9" t="s">
        <v>61</v>
      </c>
      <c r="F9">
        <v>990</v>
      </c>
      <c r="G9" t="s">
        <v>62</v>
      </c>
      <c r="H9">
        <v>78</v>
      </c>
      <c r="I9">
        <v>229</v>
      </c>
      <c r="J9" s="1">
        <v>43414.354155092595</v>
      </c>
      <c r="K9" s="1">
        <v>43414.583333333336</v>
      </c>
      <c r="L9">
        <v>5.5002777777777796</v>
      </c>
      <c r="M9">
        <v>3.31527777777778</v>
      </c>
      <c r="N9">
        <v>3.0219444444444399</v>
      </c>
      <c r="O9">
        <v>17.600000000000001</v>
      </c>
      <c r="P9">
        <v>131.1</v>
      </c>
      <c r="Q9">
        <v>0</v>
      </c>
      <c r="R9">
        <v>0.91152073732718897</v>
      </c>
      <c r="S9">
        <v>0.97152594624788802</v>
      </c>
      <c r="T9">
        <v>1</v>
      </c>
      <c r="U9">
        <v>0.88556604685636897</v>
      </c>
    </row>
    <row r="10" spans="1:21" hidden="1" x14ac:dyDescent="0.25">
      <c r="A10">
        <v>998</v>
      </c>
      <c r="B10">
        <v>37</v>
      </c>
      <c r="C10" t="s">
        <v>74</v>
      </c>
      <c r="D10" t="s">
        <v>24</v>
      </c>
      <c r="E10" t="s">
        <v>46</v>
      </c>
      <c r="F10">
        <v>998</v>
      </c>
      <c r="G10" t="s">
        <v>47</v>
      </c>
      <c r="H10">
        <v>141</v>
      </c>
      <c r="I10">
        <v>282</v>
      </c>
      <c r="J10" s="1">
        <v>43414.25</v>
      </c>
      <c r="K10" s="1">
        <v>43414.337835648148</v>
      </c>
      <c r="L10">
        <v>2.10805555555556</v>
      </c>
      <c r="M10">
        <v>2.0667222222222201</v>
      </c>
      <c r="N10">
        <v>2.0000555555555599</v>
      </c>
      <c r="O10">
        <v>4</v>
      </c>
      <c r="P10">
        <v>2.48</v>
      </c>
      <c r="Q10">
        <v>0</v>
      </c>
      <c r="R10">
        <v>0.96774280261283296</v>
      </c>
      <c r="S10">
        <v>0.99997222299380595</v>
      </c>
      <c r="T10">
        <v>1</v>
      </c>
      <c r="U10">
        <v>0.96771592161500997</v>
      </c>
    </row>
    <row r="11" spans="1:21" hidden="1" x14ac:dyDescent="0.25">
      <c r="A11">
        <v>998</v>
      </c>
      <c r="B11">
        <v>37</v>
      </c>
      <c r="C11" t="s">
        <v>74</v>
      </c>
      <c r="D11" t="s">
        <v>24</v>
      </c>
      <c r="E11" t="s">
        <v>46</v>
      </c>
      <c r="F11">
        <v>998</v>
      </c>
      <c r="G11" t="s">
        <v>67</v>
      </c>
      <c r="H11">
        <v>141</v>
      </c>
      <c r="I11">
        <v>643</v>
      </c>
      <c r="J11" s="1">
        <v>43414.337835648148</v>
      </c>
      <c r="K11" s="1">
        <v>43414.583333333336</v>
      </c>
      <c r="L11">
        <v>5.89194444444444</v>
      </c>
      <c r="M11">
        <v>5.1966111111111104</v>
      </c>
      <c r="N11">
        <v>4.5601111111111097</v>
      </c>
      <c r="O11">
        <v>38.19</v>
      </c>
      <c r="P11">
        <v>41.72</v>
      </c>
      <c r="Q11">
        <v>2</v>
      </c>
      <c r="R11">
        <v>0.87751633008691599</v>
      </c>
      <c r="S11">
        <v>1.0000378448743801</v>
      </c>
      <c r="T11">
        <v>0.99688958009331297</v>
      </c>
      <c r="U11">
        <v>0.87481999202517202</v>
      </c>
    </row>
    <row r="12" spans="1:21" hidden="1" x14ac:dyDescent="0.25">
      <c r="A12">
        <v>997</v>
      </c>
      <c r="B12">
        <v>42</v>
      </c>
      <c r="C12" t="s">
        <v>74</v>
      </c>
      <c r="D12" t="s">
        <v>24</v>
      </c>
      <c r="E12" t="s">
        <v>48</v>
      </c>
      <c r="F12">
        <v>997</v>
      </c>
      <c r="G12" t="s">
        <v>49</v>
      </c>
      <c r="H12">
        <v>156</v>
      </c>
      <c r="I12">
        <v>713</v>
      </c>
      <c r="J12" s="1">
        <v>43414.25</v>
      </c>
      <c r="K12" s="1">
        <v>43414.583333333336</v>
      </c>
      <c r="L12">
        <v>8</v>
      </c>
      <c r="M12">
        <v>7.2539999999999996</v>
      </c>
      <c r="N12">
        <v>4.5706666666666704</v>
      </c>
      <c r="O12">
        <v>161</v>
      </c>
      <c r="P12">
        <v>44.76</v>
      </c>
      <c r="Q12">
        <v>25</v>
      </c>
      <c r="R12">
        <v>0.63008914621817802</v>
      </c>
      <c r="S12">
        <v>0.99996634054393696</v>
      </c>
      <c r="T12">
        <v>0.96493688639551201</v>
      </c>
      <c r="U12">
        <v>0.60797579408001201</v>
      </c>
    </row>
    <row r="13" spans="1:21" hidden="1" x14ac:dyDescent="0.25">
      <c r="A13">
        <v>996</v>
      </c>
      <c r="B13">
        <v>43</v>
      </c>
      <c r="C13" t="s">
        <v>74</v>
      </c>
      <c r="D13" t="s">
        <v>24</v>
      </c>
      <c r="E13" t="s">
        <v>44</v>
      </c>
      <c r="F13">
        <v>996</v>
      </c>
      <c r="G13" t="s">
        <v>45</v>
      </c>
      <c r="H13">
        <v>156</v>
      </c>
      <c r="I13">
        <v>854</v>
      </c>
      <c r="J13" s="1">
        <v>43414.25</v>
      </c>
      <c r="K13" s="1">
        <v>43414.583333333336</v>
      </c>
      <c r="L13">
        <v>8</v>
      </c>
      <c r="M13">
        <v>7.2933333333333303</v>
      </c>
      <c r="N13">
        <v>5.4744999999999999</v>
      </c>
      <c r="O13">
        <v>109.13</v>
      </c>
      <c r="P13">
        <v>42.4</v>
      </c>
      <c r="Q13">
        <v>9</v>
      </c>
      <c r="R13">
        <v>0.75061700182815405</v>
      </c>
      <c r="S13">
        <v>0.99997423953949705</v>
      </c>
      <c r="T13">
        <v>0.98946135831381699</v>
      </c>
      <c r="U13">
        <v>0.74268738574040205</v>
      </c>
    </row>
    <row r="14" spans="1:21" hidden="1" x14ac:dyDescent="0.25">
      <c r="A14">
        <v>991</v>
      </c>
      <c r="B14">
        <v>44</v>
      </c>
      <c r="C14" t="s">
        <v>74</v>
      </c>
      <c r="D14" t="s">
        <v>24</v>
      </c>
      <c r="E14" t="s">
        <v>59</v>
      </c>
      <c r="F14">
        <v>991</v>
      </c>
      <c r="G14" t="s">
        <v>68</v>
      </c>
      <c r="H14">
        <v>156</v>
      </c>
      <c r="I14">
        <v>1066</v>
      </c>
      <c r="J14" s="1">
        <v>43414.25</v>
      </c>
      <c r="K14" s="1">
        <v>43414.583333333336</v>
      </c>
      <c r="L14">
        <v>8</v>
      </c>
      <c r="M14">
        <v>7.5</v>
      </c>
      <c r="N14">
        <v>6.8333333333333304</v>
      </c>
      <c r="O14">
        <v>40</v>
      </c>
      <c r="P14">
        <v>30</v>
      </c>
      <c r="Q14">
        <v>0</v>
      </c>
      <c r="R14">
        <v>0.91111111111111098</v>
      </c>
      <c r="S14">
        <v>1</v>
      </c>
      <c r="T14">
        <v>1</v>
      </c>
      <c r="U14">
        <v>0.91111111111111098</v>
      </c>
    </row>
    <row r="15" spans="1:21" hidden="1" x14ac:dyDescent="0.25">
      <c r="A15">
        <v>992</v>
      </c>
      <c r="B15">
        <v>45</v>
      </c>
      <c r="C15" t="s">
        <v>74</v>
      </c>
      <c r="D15" t="s">
        <v>24</v>
      </c>
      <c r="E15" t="s">
        <v>63</v>
      </c>
      <c r="F15">
        <v>992</v>
      </c>
      <c r="G15" t="s">
        <v>64</v>
      </c>
      <c r="H15">
        <v>156</v>
      </c>
      <c r="I15">
        <v>944</v>
      </c>
      <c r="J15" s="1">
        <v>43414.25</v>
      </c>
      <c r="K15" s="1">
        <v>43414.583333333336</v>
      </c>
      <c r="L15">
        <v>8</v>
      </c>
      <c r="M15">
        <v>7.5</v>
      </c>
      <c r="N15">
        <v>6.0513333333333303</v>
      </c>
      <c r="O15">
        <v>86.92</v>
      </c>
      <c r="P15">
        <v>30</v>
      </c>
      <c r="Q15">
        <v>0</v>
      </c>
      <c r="R15">
        <v>0.80684444444444403</v>
      </c>
      <c r="S15">
        <v>0.99999152549554704</v>
      </c>
      <c r="T15">
        <v>1</v>
      </c>
      <c r="U15">
        <v>0.80683760683760697</v>
      </c>
    </row>
    <row r="16" spans="1:21" hidden="1" x14ac:dyDescent="0.25">
      <c r="A16">
        <v>993</v>
      </c>
      <c r="B16">
        <v>46</v>
      </c>
      <c r="C16" t="s">
        <v>74</v>
      </c>
      <c r="D16" t="s">
        <v>24</v>
      </c>
      <c r="E16" t="s">
        <v>52</v>
      </c>
      <c r="F16">
        <v>993</v>
      </c>
      <c r="G16" t="s">
        <v>53</v>
      </c>
      <c r="H16">
        <v>156</v>
      </c>
      <c r="I16">
        <v>904</v>
      </c>
      <c r="J16" s="1">
        <v>43414.25</v>
      </c>
      <c r="K16" s="1">
        <v>43414.583333333336</v>
      </c>
      <c r="L16">
        <v>8</v>
      </c>
      <c r="M16">
        <v>7.1416666666666702</v>
      </c>
      <c r="N16">
        <v>5.7949999999999999</v>
      </c>
      <c r="O16">
        <v>80.8</v>
      </c>
      <c r="P16">
        <v>51.5</v>
      </c>
      <c r="Q16">
        <v>0</v>
      </c>
      <c r="R16">
        <v>0.81143523920653404</v>
      </c>
      <c r="S16">
        <v>0.99997787659565096</v>
      </c>
      <c r="T16">
        <v>1</v>
      </c>
      <c r="U16">
        <v>0.811417287496634</v>
      </c>
    </row>
    <row r="17" spans="1:21" hidden="1" x14ac:dyDescent="0.25">
      <c r="A17">
        <v>1000</v>
      </c>
      <c r="B17">
        <v>48</v>
      </c>
      <c r="C17" t="s">
        <v>74</v>
      </c>
      <c r="D17" t="s">
        <v>24</v>
      </c>
      <c r="E17" t="s">
        <v>50</v>
      </c>
      <c r="F17">
        <v>1000</v>
      </c>
      <c r="G17" t="s">
        <v>70</v>
      </c>
      <c r="H17">
        <v>52</v>
      </c>
      <c r="I17">
        <v>138</v>
      </c>
      <c r="J17" s="1">
        <v>43414.25</v>
      </c>
      <c r="K17" s="1">
        <v>43414.583333333336</v>
      </c>
      <c r="L17">
        <v>8</v>
      </c>
      <c r="M17">
        <v>6.0333333333333297</v>
      </c>
      <c r="N17">
        <v>2.65</v>
      </c>
      <c r="O17">
        <v>203</v>
      </c>
      <c r="P17">
        <v>118</v>
      </c>
      <c r="Q17">
        <v>3</v>
      </c>
      <c r="R17">
        <v>0.43922651933701701</v>
      </c>
      <c r="S17">
        <v>1.00145137880987</v>
      </c>
      <c r="T17">
        <v>0.97826086956521696</v>
      </c>
      <c r="U17">
        <v>0.43030174245643898</v>
      </c>
    </row>
    <row r="18" spans="1:21" hidden="1" x14ac:dyDescent="0.25">
      <c r="A18">
        <v>994</v>
      </c>
      <c r="B18">
        <v>80</v>
      </c>
      <c r="C18" t="s">
        <v>74</v>
      </c>
      <c r="D18" t="s">
        <v>24</v>
      </c>
      <c r="E18" t="s">
        <v>54</v>
      </c>
      <c r="F18">
        <v>994</v>
      </c>
      <c r="G18" t="s">
        <v>55</v>
      </c>
      <c r="H18">
        <v>144</v>
      </c>
      <c r="I18">
        <v>421</v>
      </c>
      <c r="J18" s="1">
        <v>43414.25</v>
      </c>
      <c r="K18" s="1">
        <v>43414.583333333336</v>
      </c>
      <c r="L18">
        <v>8</v>
      </c>
      <c r="M18">
        <v>7.5</v>
      </c>
      <c r="N18">
        <v>2.9236666666666702</v>
      </c>
      <c r="O18">
        <v>274.58</v>
      </c>
      <c r="P18">
        <v>30</v>
      </c>
      <c r="Q18">
        <v>0</v>
      </c>
      <c r="R18">
        <v>0.38982222222222201</v>
      </c>
      <c r="S18">
        <v>0.99998099798578699</v>
      </c>
      <c r="T18">
        <v>1</v>
      </c>
      <c r="U18">
        <v>0.389814814814815</v>
      </c>
    </row>
    <row r="19" spans="1:21" hidden="1" x14ac:dyDescent="0.25">
      <c r="A19">
        <v>1004</v>
      </c>
      <c r="B19">
        <v>18</v>
      </c>
      <c r="C19" t="s">
        <v>74</v>
      </c>
      <c r="D19" t="s">
        <v>21</v>
      </c>
      <c r="E19" t="s">
        <v>56</v>
      </c>
      <c r="F19">
        <v>1004</v>
      </c>
      <c r="G19" t="s">
        <v>58</v>
      </c>
      <c r="H19">
        <v>78</v>
      </c>
      <c r="I19">
        <v>83</v>
      </c>
      <c r="J19" s="1">
        <v>43414.583333333336</v>
      </c>
      <c r="K19" s="1">
        <v>43414.644189814811</v>
      </c>
      <c r="L19">
        <v>1.46055555555556</v>
      </c>
      <c r="M19">
        <v>1.0772222222222201</v>
      </c>
      <c r="N19">
        <v>0.89888888888888896</v>
      </c>
      <c r="O19">
        <v>10.7</v>
      </c>
      <c r="P19">
        <v>23</v>
      </c>
      <c r="Q19">
        <v>0</v>
      </c>
      <c r="R19">
        <v>0.83445074780814898</v>
      </c>
      <c r="S19">
        <v>1.1837976609299199</v>
      </c>
      <c r="T19">
        <v>1</v>
      </c>
      <c r="U19">
        <v>0.987820843416511</v>
      </c>
    </row>
    <row r="20" spans="1:21" hidden="1" x14ac:dyDescent="0.25">
      <c r="A20">
        <v>1004</v>
      </c>
      <c r="B20">
        <v>18</v>
      </c>
      <c r="C20" t="s">
        <v>74</v>
      </c>
      <c r="D20" t="s">
        <v>21</v>
      </c>
      <c r="E20" t="s">
        <v>56</v>
      </c>
      <c r="F20">
        <v>1004</v>
      </c>
      <c r="G20" t="s">
        <v>57</v>
      </c>
      <c r="H20">
        <v>78</v>
      </c>
      <c r="I20">
        <v>139</v>
      </c>
      <c r="J20" s="1">
        <v>43414.644189814811</v>
      </c>
      <c r="K20" s="1">
        <v>43414.787581018521</v>
      </c>
      <c r="L20">
        <v>3.4413888888888899</v>
      </c>
      <c r="M20">
        <v>2.60805555555556</v>
      </c>
      <c r="N20">
        <v>1.8530555555555599</v>
      </c>
      <c r="O20">
        <v>45.3</v>
      </c>
      <c r="P20">
        <v>50</v>
      </c>
      <c r="Q20">
        <v>0</v>
      </c>
      <c r="R20">
        <v>0.71051230162956602</v>
      </c>
      <c r="S20">
        <v>0.96168259861858996</v>
      </c>
      <c r="T20">
        <v>1</v>
      </c>
      <c r="U20">
        <v>0.68328731658159703</v>
      </c>
    </row>
    <row r="21" spans="1:21" hidden="1" x14ac:dyDescent="0.25">
      <c r="A21">
        <v>1004</v>
      </c>
      <c r="B21">
        <v>18</v>
      </c>
      <c r="C21" t="s">
        <v>74</v>
      </c>
      <c r="D21" t="s">
        <v>21</v>
      </c>
      <c r="E21" t="s">
        <v>56</v>
      </c>
      <c r="F21">
        <v>1004</v>
      </c>
      <c r="G21" t="s">
        <v>58</v>
      </c>
      <c r="H21">
        <v>78</v>
      </c>
      <c r="I21">
        <v>145</v>
      </c>
      <c r="J21" s="1">
        <v>43414.787581018521</v>
      </c>
      <c r="K21" s="1">
        <v>43414.895833333336</v>
      </c>
      <c r="L21">
        <v>2.5980555555555598</v>
      </c>
      <c r="M21">
        <v>2.5980555555555598</v>
      </c>
      <c r="N21">
        <v>1.9580555555555601</v>
      </c>
      <c r="O21">
        <v>38.4</v>
      </c>
      <c r="P21">
        <v>0</v>
      </c>
      <c r="Q21">
        <v>0</v>
      </c>
      <c r="R21">
        <v>0.75366192665454901</v>
      </c>
      <c r="S21">
        <v>0.94939816886192296</v>
      </c>
      <c r="T21">
        <v>1</v>
      </c>
      <c r="U21">
        <v>0.71552525310677795</v>
      </c>
    </row>
    <row r="22" spans="1:21" x14ac:dyDescent="0.25">
      <c r="A22">
        <v>1002</v>
      </c>
      <c r="B22">
        <v>21</v>
      </c>
      <c r="C22" t="s">
        <v>74</v>
      </c>
      <c r="D22" t="s">
        <v>21</v>
      </c>
      <c r="E22" t="s">
        <v>22</v>
      </c>
      <c r="F22">
        <v>1002</v>
      </c>
      <c r="G22" t="s">
        <v>73</v>
      </c>
      <c r="H22">
        <v>78</v>
      </c>
      <c r="I22">
        <v>430</v>
      </c>
      <c r="J22" s="1">
        <v>43414.583333333336</v>
      </c>
      <c r="K22" s="1">
        <v>43414.895833333336</v>
      </c>
      <c r="L22">
        <v>7.5</v>
      </c>
      <c r="M22">
        <v>6.8666666666666698</v>
      </c>
      <c r="N22">
        <v>5.6583333333333297</v>
      </c>
      <c r="O22">
        <v>72.5</v>
      </c>
      <c r="P22">
        <v>38</v>
      </c>
      <c r="Q22">
        <v>11</v>
      </c>
      <c r="R22">
        <v>0.82402912621359203</v>
      </c>
      <c r="S22">
        <v>0.97428344851025295</v>
      </c>
      <c r="T22">
        <v>0.97441860465116303</v>
      </c>
      <c r="U22">
        <v>0.78230022404779698</v>
      </c>
    </row>
    <row r="23" spans="1:21" hidden="1" x14ac:dyDescent="0.25">
      <c r="A23">
        <v>1003</v>
      </c>
      <c r="B23">
        <v>22</v>
      </c>
      <c r="C23" t="s">
        <v>74</v>
      </c>
      <c r="D23" t="s">
        <v>21</v>
      </c>
      <c r="E23" t="s">
        <v>25</v>
      </c>
      <c r="F23">
        <v>1003</v>
      </c>
      <c r="G23" t="s">
        <v>66</v>
      </c>
      <c r="H23">
        <v>78</v>
      </c>
      <c r="I23">
        <v>358</v>
      </c>
      <c r="J23" s="1">
        <v>43414.583333333336</v>
      </c>
      <c r="K23" s="1">
        <v>43414.895833333336</v>
      </c>
      <c r="L23">
        <v>7.5</v>
      </c>
      <c r="M23">
        <v>6.8666666666666698</v>
      </c>
      <c r="N23">
        <v>5.35</v>
      </c>
      <c r="O23">
        <v>91</v>
      </c>
      <c r="P23">
        <v>38</v>
      </c>
      <c r="Q23">
        <v>19</v>
      </c>
      <c r="R23">
        <v>0.779126213592233</v>
      </c>
      <c r="S23">
        <v>0.85789599808291395</v>
      </c>
      <c r="T23">
        <v>0.94692737430167595</v>
      </c>
      <c r="U23">
        <v>0.63293502613890995</v>
      </c>
    </row>
    <row r="24" spans="1:21" hidden="1" x14ac:dyDescent="0.25">
      <c r="A24">
        <v>1008</v>
      </c>
      <c r="B24">
        <v>23</v>
      </c>
      <c r="C24" t="s">
        <v>74</v>
      </c>
      <c r="D24" t="s">
        <v>21</v>
      </c>
      <c r="E24" t="s">
        <v>61</v>
      </c>
      <c r="F24">
        <v>1008</v>
      </c>
      <c r="G24" t="s">
        <v>62</v>
      </c>
      <c r="H24">
        <v>78</v>
      </c>
      <c r="I24">
        <v>10</v>
      </c>
      <c r="J24" s="1">
        <v>43414.583333333336</v>
      </c>
      <c r="K24" s="1">
        <v>43414.611446759256</v>
      </c>
      <c r="L24">
        <v>0.674722222222222</v>
      </c>
      <c r="M24">
        <v>8.0555555555555901E-3</v>
      </c>
      <c r="N24">
        <v>8.0555555555555901E-3</v>
      </c>
      <c r="O24">
        <v>0</v>
      </c>
      <c r="P24">
        <v>40</v>
      </c>
      <c r="Q24">
        <v>0</v>
      </c>
      <c r="R24">
        <v>1</v>
      </c>
      <c r="S24">
        <v>15.915119363395201</v>
      </c>
      <c r="T24">
        <v>1</v>
      </c>
      <c r="U24">
        <v>15.915119363395201</v>
      </c>
    </row>
    <row r="25" spans="1:21" hidden="1" x14ac:dyDescent="0.25">
      <c r="A25">
        <v>1008</v>
      </c>
      <c r="B25">
        <v>23</v>
      </c>
      <c r="C25" t="s">
        <v>74</v>
      </c>
      <c r="D25" t="s">
        <v>21</v>
      </c>
      <c r="E25" t="s">
        <v>61</v>
      </c>
      <c r="F25">
        <v>1008</v>
      </c>
      <c r="G25" t="s">
        <v>72</v>
      </c>
      <c r="H25">
        <v>78</v>
      </c>
      <c r="I25">
        <v>349</v>
      </c>
      <c r="J25" s="1">
        <v>43414.611446759256</v>
      </c>
      <c r="K25" s="1">
        <v>43414.895833333336</v>
      </c>
      <c r="L25">
        <v>6.8252777777777798</v>
      </c>
      <c r="M25">
        <v>5.3169444444444496</v>
      </c>
      <c r="N25">
        <v>4.58361111111111</v>
      </c>
      <c r="O25">
        <v>44</v>
      </c>
      <c r="P25">
        <v>90.5</v>
      </c>
      <c r="Q25">
        <v>0</v>
      </c>
      <c r="R25">
        <v>0.86207617156888405</v>
      </c>
      <c r="S25">
        <v>0.97616461473197402</v>
      </c>
      <c r="T25">
        <v>1</v>
      </c>
      <c r="U25">
        <v>0.84152825388915498</v>
      </c>
    </row>
    <row r="26" spans="1:21" hidden="1" x14ac:dyDescent="0.25">
      <c r="A26">
        <v>1011</v>
      </c>
      <c r="B26">
        <v>37</v>
      </c>
      <c r="C26" t="s">
        <v>74</v>
      </c>
      <c r="D26" t="s">
        <v>21</v>
      </c>
      <c r="E26" t="s">
        <v>46</v>
      </c>
      <c r="F26">
        <v>1011</v>
      </c>
      <c r="G26" t="s">
        <v>67</v>
      </c>
      <c r="H26">
        <v>141</v>
      </c>
      <c r="I26">
        <v>973</v>
      </c>
      <c r="J26" s="1">
        <v>43414.583333333336</v>
      </c>
      <c r="K26" s="1">
        <v>43414.895833333336</v>
      </c>
      <c r="L26">
        <v>7.5</v>
      </c>
      <c r="M26">
        <v>7</v>
      </c>
      <c r="N26">
        <v>6.8916666666666702</v>
      </c>
      <c r="O26">
        <v>6.5</v>
      </c>
      <c r="P26">
        <v>30</v>
      </c>
      <c r="Q26">
        <v>5</v>
      </c>
      <c r="R26">
        <v>0.98452380952380902</v>
      </c>
      <c r="S26">
        <v>1.00131209961666</v>
      </c>
      <c r="T26">
        <v>0.99486125385405999</v>
      </c>
      <c r="U26">
        <v>0.98074974670719395</v>
      </c>
    </row>
    <row r="27" spans="1:21" hidden="1" x14ac:dyDescent="0.25">
      <c r="A27">
        <v>1001</v>
      </c>
      <c r="B27">
        <v>42</v>
      </c>
      <c r="C27" t="s">
        <v>74</v>
      </c>
      <c r="D27" t="s">
        <v>21</v>
      </c>
      <c r="E27" t="s">
        <v>48</v>
      </c>
      <c r="F27">
        <v>1001</v>
      </c>
      <c r="G27" t="s">
        <v>49</v>
      </c>
      <c r="H27">
        <v>156</v>
      </c>
      <c r="I27">
        <v>831</v>
      </c>
      <c r="J27" s="1">
        <v>43414.583333333336</v>
      </c>
      <c r="K27" s="1">
        <v>43414.895833333336</v>
      </c>
      <c r="L27">
        <v>7.5</v>
      </c>
      <c r="M27">
        <v>7</v>
      </c>
      <c r="N27">
        <v>5.4516666666666698</v>
      </c>
      <c r="O27">
        <v>92.9</v>
      </c>
      <c r="P27">
        <v>30</v>
      </c>
      <c r="Q27">
        <v>10</v>
      </c>
      <c r="R27">
        <v>0.77880952380952395</v>
      </c>
      <c r="S27">
        <v>0.97711826540930802</v>
      </c>
      <c r="T27">
        <v>0.98796630565583599</v>
      </c>
      <c r="U27">
        <v>0.75183150183150205</v>
      </c>
    </row>
    <row r="28" spans="1:21" hidden="1" x14ac:dyDescent="0.25">
      <c r="A28">
        <v>1005</v>
      </c>
      <c r="B28">
        <v>44</v>
      </c>
      <c r="C28" t="s">
        <v>74</v>
      </c>
      <c r="D28" t="s">
        <v>21</v>
      </c>
      <c r="E28" t="s">
        <v>59</v>
      </c>
      <c r="F28">
        <v>1005</v>
      </c>
      <c r="G28" t="s">
        <v>68</v>
      </c>
      <c r="H28">
        <v>156</v>
      </c>
      <c r="I28">
        <v>687</v>
      </c>
      <c r="J28" s="1">
        <v>43414.583333333336</v>
      </c>
      <c r="K28" s="1">
        <v>43414.833981481483</v>
      </c>
      <c r="L28">
        <v>6.0155555555555598</v>
      </c>
      <c r="M28">
        <v>4.9522222222222201</v>
      </c>
      <c r="N28">
        <v>4.4422222222222203</v>
      </c>
      <c r="O28">
        <v>30.6</v>
      </c>
      <c r="P28">
        <v>63.8</v>
      </c>
      <c r="Q28">
        <v>0</v>
      </c>
      <c r="R28">
        <v>0.89701592999775603</v>
      </c>
      <c r="S28">
        <v>0.99136106514795896</v>
      </c>
      <c r="T28">
        <v>1</v>
      </c>
      <c r="U28">
        <v>0.88926666781726305</v>
      </c>
    </row>
    <row r="29" spans="1:21" hidden="1" x14ac:dyDescent="0.25">
      <c r="A29">
        <v>1005</v>
      </c>
      <c r="B29">
        <v>44</v>
      </c>
      <c r="C29" t="s">
        <v>74</v>
      </c>
      <c r="D29" t="s">
        <v>21</v>
      </c>
      <c r="E29" t="s">
        <v>59</v>
      </c>
      <c r="F29">
        <v>1005</v>
      </c>
      <c r="G29" t="s">
        <v>60</v>
      </c>
      <c r="H29">
        <v>156</v>
      </c>
      <c r="I29">
        <v>161</v>
      </c>
      <c r="J29" s="1">
        <v>43414.833981481483</v>
      </c>
      <c r="K29" s="1">
        <v>43414.895833333336</v>
      </c>
      <c r="L29">
        <v>1.48444444444444</v>
      </c>
      <c r="M29">
        <v>0.98444444444444401</v>
      </c>
      <c r="N29">
        <v>0.98444444444444401</v>
      </c>
      <c r="O29">
        <v>0</v>
      </c>
      <c r="P29">
        <v>30</v>
      </c>
      <c r="Q29">
        <v>0</v>
      </c>
      <c r="R29">
        <v>1</v>
      </c>
      <c r="S29">
        <v>1.0483590901198101</v>
      </c>
      <c r="T29">
        <v>1</v>
      </c>
      <c r="U29">
        <v>1.0483590901198101</v>
      </c>
    </row>
    <row r="30" spans="1:21" hidden="1" x14ac:dyDescent="0.25">
      <c r="A30">
        <v>1006</v>
      </c>
      <c r="B30">
        <v>45</v>
      </c>
      <c r="C30" t="s">
        <v>74</v>
      </c>
      <c r="D30" t="s">
        <v>21</v>
      </c>
      <c r="E30" t="s">
        <v>63</v>
      </c>
      <c r="F30">
        <v>1006</v>
      </c>
      <c r="G30" t="s">
        <v>64</v>
      </c>
      <c r="H30">
        <v>156</v>
      </c>
      <c r="I30">
        <v>803</v>
      </c>
      <c r="J30" s="1">
        <v>43414.583333333336</v>
      </c>
      <c r="K30" s="1">
        <v>43414.895833333336</v>
      </c>
      <c r="L30">
        <v>7.5</v>
      </c>
      <c r="M30">
        <v>5.93333333333333</v>
      </c>
      <c r="N30">
        <v>5.1666666666666696</v>
      </c>
      <c r="O30">
        <v>46</v>
      </c>
      <c r="P30">
        <v>94</v>
      </c>
      <c r="Q30">
        <v>0</v>
      </c>
      <c r="R30">
        <v>0.87078651685393305</v>
      </c>
      <c r="S30">
        <v>0.99627791563275403</v>
      </c>
      <c r="T30">
        <v>1</v>
      </c>
      <c r="U30">
        <v>0.86754537597234205</v>
      </c>
    </row>
    <row r="31" spans="1:21" hidden="1" x14ac:dyDescent="0.25">
      <c r="A31">
        <v>1007</v>
      </c>
      <c r="B31">
        <v>46</v>
      </c>
      <c r="C31" t="s">
        <v>74</v>
      </c>
      <c r="D31" t="s">
        <v>21</v>
      </c>
      <c r="E31" t="s">
        <v>52</v>
      </c>
      <c r="F31">
        <v>1007</v>
      </c>
      <c r="G31" t="s">
        <v>53</v>
      </c>
      <c r="H31">
        <v>156</v>
      </c>
      <c r="I31">
        <v>802</v>
      </c>
      <c r="J31" s="1">
        <v>43414.583333333336</v>
      </c>
      <c r="K31" s="1">
        <v>43414.895833333336</v>
      </c>
      <c r="L31">
        <v>7.5</v>
      </c>
      <c r="M31">
        <v>6.1783333333333301</v>
      </c>
      <c r="N31">
        <v>5.1283333333333303</v>
      </c>
      <c r="O31">
        <v>63</v>
      </c>
      <c r="P31">
        <v>79.3</v>
      </c>
      <c r="Q31">
        <v>0</v>
      </c>
      <c r="R31">
        <v>0.83005125438359895</v>
      </c>
      <c r="S31">
        <v>1.0024749381265501</v>
      </c>
      <c r="T31">
        <v>1</v>
      </c>
      <c r="U31">
        <v>0.83210557988006095</v>
      </c>
    </row>
    <row r="32" spans="1:21" hidden="1" x14ac:dyDescent="0.25">
      <c r="A32">
        <v>1010</v>
      </c>
      <c r="B32">
        <v>48</v>
      </c>
      <c r="C32" t="s">
        <v>74</v>
      </c>
      <c r="D32" t="s">
        <v>21</v>
      </c>
      <c r="E32" t="s">
        <v>50</v>
      </c>
      <c r="F32">
        <v>1010</v>
      </c>
      <c r="G32" t="s">
        <v>70</v>
      </c>
      <c r="H32">
        <v>52</v>
      </c>
      <c r="I32">
        <v>150</v>
      </c>
      <c r="J32" s="1">
        <v>43414.583333333336</v>
      </c>
      <c r="K32" s="1">
        <v>43414.827499999999</v>
      </c>
      <c r="L32">
        <v>5.86</v>
      </c>
      <c r="M32">
        <v>4.8099999999999996</v>
      </c>
      <c r="N32">
        <v>3.3433333333333302</v>
      </c>
      <c r="O32">
        <v>88</v>
      </c>
      <c r="P32">
        <v>63</v>
      </c>
      <c r="Q32">
        <v>2</v>
      </c>
      <c r="R32">
        <v>0.69507969507969503</v>
      </c>
      <c r="S32">
        <v>0.86279622670450196</v>
      </c>
      <c r="T32">
        <v>0.98666666666666702</v>
      </c>
      <c r="U32">
        <v>0.59171597633136097</v>
      </c>
    </row>
    <row r="33" spans="1:21" hidden="1" x14ac:dyDescent="0.25">
      <c r="A33">
        <v>1010</v>
      </c>
      <c r="B33">
        <v>48</v>
      </c>
      <c r="C33" t="s">
        <v>74</v>
      </c>
      <c r="D33" t="s">
        <v>21</v>
      </c>
      <c r="E33" t="s">
        <v>50</v>
      </c>
      <c r="F33">
        <v>1010</v>
      </c>
      <c r="G33" t="s">
        <v>51</v>
      </c>
      <c r="H33">
        <v>63</v>
      </c>
      <c r="I33">
        <v>2</v>
      </c>
      <c r="J33" s="22">
        <v>43414.827499999999</v>
      </c>
      <c r="K33" s="22">
        <v>43414.895833333336</v>
      </c>
      <c r="L33">
        <v>1.64</v>
      </c>
      <c r="M33">
        <v>0.17333333333333301</v>
      </c>
      <c r="N33">
        <v>0.17333333333333301</v>
      </c>
      <c r="O33">
        <v>0</v>
      </c>
      <c r="P33">
        <v>88</v>
      </c>
      <c r="Q33">
        <v>0</v>
      </c>
      <c r="R33">
        <v>1</v>
      </c>
      <c r="S33">
        <v>0.183150183150183</v>
      </c>
      <c r="T33">
        <v>1</v>
      </c>
      <c r="U33">
        <v>0.183150183150183</v>
      </c>
    </row>
    <row r="34" spans="1:21" hidden="1" x14ac:dyDescent="0.25">
      <c r="A34">
        <v>1009</v>
      </c>
      <c r="B34">
        <v>80</v>
      </c>
      <c r="C34" t="s">
        <v>74</v>
      </c>
      <c r="D34" t="s">
        <v>21</v>
      </c>
      <c r="E34" t="s">
        <v>54</v>
      </c>
      <c r="F34">
        <v>1009</v>
      </c>
      <c r="G34" t="s">
        <v>55</v>
      </c>
      <c r="H34">
        <v>144</v>
      </c>
      <c r="I34">
        <v>348</v>
      </c>
      <c r="J34" s="22">
        <v>43414.583333333336</v>
      </c>
      <c r="K34" s="22">
        <v>43414.895833333336</v>
      </c>
      <c r="L34">
        <v>7.5</v>
      </c>
      <c r="M34">
        <v>6.1166666666666698</v>
      </c>
      <c r="N34">
        <v>2.43333333333333</v>
      </c>
      <c r="O34">
        <v>221</v>
      </c>
      <c r="P34">
        <v>83</v>
      </c>
      <c r="Q34">
        <v>0</v>
      </c>
      <c r="R34">
        <v>0.39782016348773902</v>
      </c>
      <c r="S34">
        <v>0.99315068493150704</v>
      </c>
      <c r="T34">
        <v>1</v>
      </c>
      <c r="U34">
        <v>0.395095367847412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-0.249977111117893"/>
  </sheetPr>
  <dimension ref="A2:X25"/>
  <sheetViews>
    <sheetView tabSelected="1" workbookViewId="0">
      <selection activeCell="R20" sqref="R20"/>
    </sheetView>
  </sheetViews>
  <sheetFormatPr baseColWidth="10" defaultColWidth="9.140625" defaultRowHeight="15" x14ac:dyDescent="0.25"/>
  <cols>
    <col min="1" max="1" width="19.5703125" customWidth="1"/>
    <col min="2" max="2" width="27" style="18" customWidth="1"/>
    <col min="3" max="3" width="10.5703125" customWidth="1"/>
    <col min="4" max="4" width="10" customWidth="1"/>
    <col min="5" max="8" width="12" bestFit="1" customWidth="1"/>
    <col min="9" max="9" width="9" bestFit="1" customWidth="1"/>
    <col min="10" max="10" width="5.28515625" bestFit="1" customWidth="1"/>
    <col min="11" max="11" width="6.7109375" bestFit="1" customWidth="1"/>
    <col min="12" max="13" width="9.140625" style="5"/>
    <col min="14" max="14" width="9.140625" style="5" bestFit="1" customWidth="1"/>
    <col min="15" max="15" width="9.140625" style="5"/>
    <col min="16" max="16" width="9.140625" style="6"/>
    <col min="17" max="17" width="6.28515625" customWidth="1"/>
    <col min="18" max="18" width="21.140625" customWidth="1"/>
    <col min="19" max="19" width="9.140625" style="4"/>
    <col min="20" max="21" width="0" style="4" hidden="1" customWidth="1"/>
    <col min="22" max="22" width="4.5703125" style="4" bestFit="1" customWidth="1"/>
    <col min="23" max="23" width="9.140625" style="4"/>
    <col min="24" max="24" width="9.140625" style="7"/>
  </cols>
  <sheetData>
    <row r="2" spans="1:24" x14ac:dyDescent="0.25">
      <c r="A2" t="s">
        <v>32</v>
      </c>
      <c r="B2" s="19" t="s">
        <v>71</v>
      </c>
      <c r="P2" s="5"/>
    </row>
    <row r="4" spans="1:24" x14ac:dyDescent="0.25">
      <c r="A4" s="11" t="s">
        <v>26</v>
      </c>
      <c r="B4" s="20" t="s">
        <v>27</v>
      </c>
      <c r="C4" s="12" t="s">
        <v>34</v>
      </c>
      <c r="D4" s="12" t="s">
        <v>28</v>
      </c>
      <c r="E4" s="12" t="s">
        <v>39</v>
      </c>
      <c r="F4" s="12" t="s">
        <v>11</v>
      </c>
      <c r="G4" s="12" t="s">
        <v>37</v>
      </c>
      <c r="H4" s="12" t="s">
        <v>38</v>
      </c>
      <c r="I4" s="12" t="s">
        <v>33</v>
      </c>
      <c r="J4" s="12" t="s">
        <v>29</v>
      </c>
      <c r="K4" s="12" t="s">
        <v>30</v>
      </c>
      <c r="L4" s="13" t="s">
        <v>35</v>
      </c>
      <c r="M4" s="13" t="s">
        <v>36</v>
      </c>
      <c r="N4" s="13" t="s">
        <v>31</v>
      </c>
      <c r="O4" s="13" t="s">
        <v>20</v>
      </c>
      <c r="P4" s="14" t="s">
        <v>7</v>
      </c>
      <c r="R4" s="8" t="s">
        <v>26</v>
      </c>
      <c r="S4" s="9" t="s">
        <v>31</v>
      </c>
      <c r="T4" s="10" t="s">
        <v>36</v>
      </c>
      <c r="U4" s="10" t="s">
        <v>35</v>
      </c>
      <c r="V4" s="9" t="s">
        <v>20</v>
      </c>
      <c r="W4" s="9" t="s">
        <v>33</v>
      </c>
      <c r="X4" s="15" t="s">
        <v>7</v>
      </c>
    </row>
    <row r="5" spans="1:24" x14ac:dyDescent="0.25">
      <c r="A5" t="s">
        <v>52</v>
      </c>
      <c r="B5" s="18" t="s">
        <v>53</v>
      </c>
      <c r="C5">
        <v>156</v>
      </c>
      <c r="D5">
        <v>0.38461538461537997</v>
      </c>
      <c r="E5">
        <v>1706</v>
      </c>
      <c r="F5">
        <v>15.5</v>
      </c>
      <c r="G5">
        <v>13.32</v>
      </c>
      <c r="H5">
        <v>10.92333333333333</v>
      </c>
      <c r="I5">
        <v>143.80000000000001</v>
      </c>
      <c r="J5">
        <v>0</v>
      </c>
      <c r="L5" s="5">
        <f t="shared" ref="L5:L24" si="0">H5/G5</f>
        <v>0.82007007007006982</v>
      </c>
      <c r="M5" s="5">
        <f t="shared" ref="M5:M24" si="1">(D5*E5)/(H5*60)</f>
        <v>1.0011502077415904</v>
      </c>
      <c r="N5" s="5">
        <f t="shared" ref="N5:N24" si="2">(E5- (J5+K5))/E5</f>
        <v>1</v>
      </c>
      <c r="O5" s="5">
        <f t="shared" ref="O5:O25" si="3">L5*M5*N5</f>
        <v>0.82101332101331093</v>
      </c>
      <c r="P5" s="6">
        <f t="shared" ref="P5:P25" si="4">E5/G5</f>
        <v>128.07807807807808</v>
      </c>
      <c r="R5" t="s">
        <v>52</v>
      </c>
      <c r="S5" s="4">
        <f>(SUM(E5:E5)-SUM(J5:K5))/SUM(E5:E5)</f>
        <v>1</v>
      </c>
      <c r="T5" s="4">
        <f>(AVERAGE(D5:D5)*SUM(E5:E5))/(SUM(H5:H5)*60)</f>
        <v>1.0011502077415904</v>
      </c>
      <c r="U5" s="4">
        <f>SUM(H5:H5)/SUM(G5:G5)</f>
        <v>0.82007007007006982</v>
      </c>
      <c r="V5" s="4">
        <f t="shared" ref="V5:V16" si="5">S5*T5*U5</f>
        <v>0.82101332101331093</v>
      </c>
      <c r="W5" s="4">
        <f t="shared" ref="W5:W16" si="6" xml:space="preserve"> 1 - U5</f>
        <v>0.17992992992993018</v>
      </c>
      <c r="X5" s="7">
        <f>(SUM(E5:E5)/SUM(G5:G5))</f>
        <v>128.07807807807808</v>
      </c>
    </row>
    <row r="6" spans="1:24" x14ac:dyDescent="0.25">
      <c r="A6" t="s">
        <v>54</v>
      </c>
      <c r="B6" s="18" t="s">
        <v>55</v>
      </c>
      <c r="C6">
        <v>144</v>
      </c>
      <c r="D6">
        <v>0.41666666666666002</v>
      </c>
      <c r="E6">
        <v>769</v>
      </c>
      <c r="F6">
        <v>15.5</v>
      </c>
      <c r="G6">
        <v>13.616666666666671</v>
      </c>
      <c r="H6">
        <v>5.3570000000000002</v>
      </c>
      <c r="I6">
        <v>495.58</v>
      </c>
      <c r="J6">
        <v>0</v>
      </c>
      <c r="L6" s="5">
        <f t="shared" si="0"/>
        <v>0.39341493268053845</v>
      </c>
      <c r="M6" s="5">
        <f t="shared" si="1"/>
        <v>0.99687843527677666</v>
      </c>
      <c r="N6" s="5">
        <f t="shared" si="2"/>
        <v>1</v>
      </c>
      <c r="O6" s="5">
        <f t="shared" si="3"/>
        <v>0.3921868625050936</v>
      </c>
      <c r="P6" s="6">
        <f t="shared" si="4"/>
        <v>56.474908200734376</v>
      </c>
      <c r="R6" t="s">
        <v>54</v>
      </c>
      <c r="S6" s="4">
        <f>(SUM(E6:E6)-SUM(J6:K6))/SUM(E6:E6)</f>
        <v>1</v>
      </c>
      <c r="T6" s="4">
        <f>(AVERAGE(D6:D6)*SUM(E6:E6))/(SUM(H6:H6)*60)</f>
        <v>0.99687843527677666</v>
      </c>
      <c r="U6" s="4">
        <f>SUM(H6:H6)/SUM(G6:G6)</f>
        <v>0.39341493268053845</v>
      </c>
      <c r="V6" s="4">
        <f t="shared" si="5"/>
        <v>0.3921868625050936</v>
      </c>
      <c r="W6" s="4">
        <f t="shared" si="6"/>
        <v>0.60658506731946149</v>
      </c>
      <c r="X6" s="7">
        <f>(SUM(E6:E6)/SUM(G6:G6))</f>
        <v>56.474908200734376</v>
      </c>
    </row>
    <row r="7" spans="1:24" x14ac:dyDescent="0.25">
      <c r="A7" t="s">
        <v>56</v>
      </c>
      <c r="B7" s="18" t="s">
        <v>57</v>
      </c>
      <c r="C7">
        <v>78</v>
      </c>
      <c r="D7">
        <v>0.76923076923075995</v>
      </c>
      <c r="E7">
        <v>139</v>
      </c>
      <c r="F7">
        <v>3.4413888888888899</v>
      </c>
      <c r="G7">
        <v>2.60805555555556</v>
      </c>
      <c r="H7">
        <v>1.8530555555555599</v>
      </c>
      <c r="I7">
        <v>45.3</v>
      </c>
      <c r="J7">
        <v>0</v>
      </c>
      <c r="L7" s="5">
        <f t="shared" si="0"/>
        <v>0.71051230162956691</v>
      </c>
      <c r="M7" s="5">
        <f t="shared" si="1"/>
        <v>0.9616825986185763</v>
      </c>
      <c r="N7" s="5">
        <f t="shared" si="2"/>
        <v>1</v>
      </c>
      <c r="O7" s="5">
        <f t="shared" si="3"/>
        <v>0.68328731658158759</v>
      </c>
      <c r="P7" s="6">
        <f t="shared" si="4"/>
        <v>53.296410693364486</v>
      </c>
      <c r="R7" t="s">
        <v>56</v>
      </c>
      <c r="S7" s="4">
        <f>(SUM(E7:E8)-SUM(J7:K8))/SUM(E7:E8)</f>
        <v>1</v>
      </c>
      <c r="T7" s="4">
        <f>(AVERAGE(D7:D8)*SUM(E7:E8))/(SUM(H7:H8)*60)</f>
        <v>0.99958907040479217</v>
      </c>
      <c r="U7" s="4">
        <f>SUM(H7:H8)/SUM(G7:G8)</f>
        <v>0.80443944595714501</v>
      </c>
      <c r="V7" s="4">
        <f t="shared" si="5"/>
        <v>0.80410887798124864</v>
      </c>
      <c r="W7" s="4">
        <f t="shared" si="6"/>
        <v>0.19556055404285499</v>
      </c>
      <c r="X7" s="7">
        <f>(SUM(E7:E8)/SUM(G7:G8))</f>
        <v>62.720492482538148</v>
      </c>
    </row>
    <row r="8" spans="1:24" x14ac:dyDescent="0.25">
      <c r="A8" t="s">
        <v>56</v>
      </c>
      <c r="B8" s="18" t="s">
        <v>58</v>
      </c>
      <c r="C8">
        <v>78</v>
      </c>
      <c r="D8">
        <v>0.76923076923075995</v>
      </c>
      <c r="E8">
        <v>744</v>
      </c>
      <c r="F8">
        <v>12.058611111111119</v>
      </c>
      <c r="G8">
        <v>11.470277777777779</v>
      </c>
      <c r="H8">
        <v>9.4721111111111185</v>
      </c>
      <c r="I8">
        <v>119.89</v>
      </c>
      <c r="J8">
        <v>0</v>
      </c>
      <c r="L8" s="5">
        <f t="shared" si="0"/>
        <v>0.82579613978156152</v>
      </c>
      <c r="M8" s="5">
        <f t="shared" si="1"/>
        <v>1.007004819366242</v>
      </c>
      <c r="N8" s="5">
        <f t="shared" si="2"/>
        <v>1</v>
      </c>
      <c r="O8" s="5">
        <f t="shared" si="3"/>
        <v>0.8315806925740713</v>
      </c>
      <c r="P8" s="6">
        <f t="shared" si="4"/>
        <v>64.863294020778326</v>
      </c>
      <c r="R8" t="s">
        <v>59</v>
      </c>
      <c r="S8" s="4">
        <f>(SUM(E9:E10)-SUM(J9:K10))/SUM(E9:E10)</f>
        <v>1</v>
      </c>
      <c r="T8" s="4">
        <f>(AVERAGE(D9:D10)*SUM(E9:E10))/(SUM(H9:H10)*60)</f>
        <v>1.0007529175555161</v>
      </c>
      <c r="U8" s="4">
        <f>SUM(H9:H10)/SUM(G9:G10)</f>
        <v>0.91242867774745695</v>
      </c>
      <c r="V8" s="4">
        <f t="shared" si="5"/>
        <v>0.91311566131708932</v>
      </c>
      <c r="W8" s="4">
        <f t="shared" si="6"/>
        <v>8.7571322252543049E-2</v>
      </c>
      <c r="X8" s="7">
        <f>(SUM(E9:E10)/SUM(G9:G10))</f>
        <v>142.44604316546764</v>
      </c>
    </row>
    <row r="9" spans="1:24" x14ac:dyDescent="0.25">
      <c r="A9" t="s">
        <v>59</v>
      </c>
      <c r="B9" s="18" t="s">
        <v>60</v>
      </c>
      <c r="C9">
        <v>156</v>
      </c>
      <c r="D9">
        <v>0.38461538461537997</v>
      </c>
      <c r="E9">
        <v>161</v>
      </c>
      <c r="F9">
        <v>1.48444444444444</v>
      </c>
      <c r="G9">
        <v>0.98444444444444401</v>
      </c>
      <c r="H9">
        <v>0.98444444444444401</v>
      </c>
      <c r="I9">
        <v>0</v>
      </c>
      <c r="J9">
        <v>0</v>
      </c>
      <c r="L9" s="5">
        <f t="shared" si="0"/>
        <v>1</v>
      </c>
      <c r="M9" s="5">
        <f t="shared" si="1"/>
        <v>1.0483590901198003</v>
      </c>
      <c r="N9" s="5">
        <f t="shared" si="2"/>
        <v>1</v>
      </c>
      <c r="O9" s="5">
        <f t="shared" si="3"/>
        <v>1.0483590901198003</v>
      </c>
      <c r="P9" s="6">
        <f t="shared" si="4"/>
        <v>163.54401805869082</v>
      </c>
      <c r="R9" t="s">
        <v>61</v>
      </c>
      <c r="S9" s="4">
        <f>(SUM(E11:E13)-SUM(J11:K13))/SUM(E11:E13)</f>
        <v>1</v>
      </c>
      <c r="T9" s="4">
        <f>(AVERAGE(D11:D13)*SUM(E11:E13))/(SUM(H11:H13)*60)</f>
        <v>1.001180162090497</v>
      </c>
      <c r="U9" s="4">
        <f>SUM(H11:H13)/SUM(G11:G13)</f>
        <v>0.84451949646914259</v>
      </c>
      <c r="V9" s="4">
        <f t="shared" si="5"/>
        <v>0.84551616636356108</v>
      </c>
      <c r="W9" s="4">
        <f t="shared" si="6"/>
        <v>0.15548050353085741</v>
      </c>
      <c r="X9" s="7">
        <f>(SUM(E11:E13)/SUM(G11:G13))</f>
        <v>65.950260976358564</v>
      </c>
    </row>
    <row r="10" spans="1:24" x14ac:dyDescent="0.25">
      <c r="A10" t="s">
        <v>59</v>
      </c>
      <c r="B10" s="18" t="s">
        <v>68</v>
      </c>
      <c r="C10">
        <v>156</v>
      </c>
      <c r="D10">
        <v>0.38461538461537997</v>
      </c>
      <c r="E10">
        <v>1753</v>
      </c>
      <c r="F10">
        <v>14.01555555555556</v>
      </c>
      <c r="G10">
        <v>12.45222222222222</v>
      </c>
      <c r="H10">
        <v>11.275555555555551</v>
      </c>
      <c r="I10">
        <v>70.599999999999994</v>
      </c>
      <c r="J10">
        <v>0</v>
      </c>
      <c r="L10" s="5">
        <f t="shared" si="0"/>
        <v>0.90550548764165228</v>
      </c>
      <c r="M10" s="5">
        <f t="shared" si="1"/>
        <v>0.99659652527211473</v>
      </c>
      <c r="N10" s="5">
        <f t="shared" si="2"/>
        <v>1</v>
      </c>
      <c r="O10" s="5">
        <f t="shared" si="3"/>
        <v>0.90242362259850251</v>
      </c>
      <c r="P10" s="6">
        <f t="shared" si="4"/>
        <v>140.77808512536811</v>
      </c>
      <c r="R10" t="s">
        <v>63</v>
      </c>
      <c r="S10" s="4">
        <f>(SUM(E14:E14)-SUM(J14:K14))/SUM(E14:E14)</f>
        <v>1</v>
      </c>
      <c r="T10" s="4">
        <f>(AVERAGE(D14:D14)*SUM(E14:E14))/(SUM(H14:H14)*60)</f>
        <v>0.99828115071472756</v>
      </c>
      <c r="U10" s="4">
        <f>SUM(H14:H14)/SUM(G14:G14)</f>
        <v>0.83508684863523597</v>
      </c>
      <c r="V10" s="4">
        <f t="shared" si="5"/>
        <v>0.83365146020231884</v>
      </c>
      <c r="W10" s="4">
        <f t="shared" si="6"/>
        <v>0.16491315136476403</v>
      </c>
      <c r="X10" s="7">
        <f>(SUM(E14:E14)/SUM(G14:G14))</f>
        <v>130.0496277915633</v>
      </c>
    </row>
    <row r="11" spans="1:24" x14ac:dyDescent="0.25">
      <c r="A11" t="s">
        <v>61</v>
      </c>
      <c r="B11" s="18" t="s">
        <v>62</v>
      </c>
      <c r="C11">
        <v>78</v>
      </c>
      <c r="D11">
        <v>0.76923076923075995</v>
      </c>
      <c r="E11">
        <v>239</v>
      </c>
      <c r="F11">
        <v>6.1750000000000016</v>
      </c>
      <c r="G11">
        <v>3.3233333333333355</v>
      </c>
      <c r="H11">
        <v>3.0299999999999954</v>
      </c>
      <c r="I11">
        <v>17.600000000000001</v>
      </c>
      <c r="J11">
        <v>0</v>
      </c>
      <c r="L11" s="5">
        <f t="shared" si="0"/>
        <v>0.91173520561684862</v>
      </c>
      <c r="M11" s="5">
        <f t="shared" si="1"/>
        <v>1.0112549716510006</v>
      </c>
      <c r="N11" s="5">
        <f t="shared" si="2"/>
        <v>1</v>
      </c>
      <c r="O11" s="5">
        <f t="shared" si="3"/>
        <v>0.9219967595092855</v>
      </c>
      <c r="P11" s="6">
        <f t="shared" si="4"/>
        <v>71.915747241725128</v>
      </c>
      <c r="R11" t="s">
        <v>44</v>
      </c>
      <c r="S11" s="4">
        <f>(SUM(E15:E15)-SUM(J15:K15))/SUM(E15:E15)</f>
        <v>0.98946135831381732</v>
      </c>
      <c r="T11" s="4">
        <f>(AVERAGE(D15:D15)*SUM(E15:E15))/(SUM(H15:H15)*60)</f>
        <v>0.99997423953948461</v>
      </c>
      <c r="U11" s="4">
        <f>SUM(H15:H15)/SUM(G15:G15)</f>
        <v>0.75061700182815383</v>
      </c>
      <c r="V11" s="4">
        <f t="shared" si="5"/>
        <v>0.7426873857403935</v>
      </c>
      <c r="W11" s="4">
        <f t="shared" si="6"/>
        <v>0.24938299817184617</v>
      </c>
      <c r="X11" s="7">
        <f>(SUM(E15:E15)/SUM(G15:G15))</f>
        <v>117.09323583180992</v>
      </c>
    </row>
    <row r="12" spans="1:24" x14ac:dyDescent="0.25">
      <c r="A12" t="s">
        <v>61</v>
      </c>
      <c r="B12" s="18" t="s">
        <v>72</v>
      </c>
      <c r="C12">
        <v>78</v>
      </c>
      <c r="D12">
        <v>0.76923076923075995</v>
      </c>
      <c r="E12">
        <v>349</v>
      </c>
      <c r="F12">
        <v>6.8252777777777798</v>
      </c>
      <c r="G12">
        <v>5.3169444444444496</v>
      </c>
      <c r="H12">
        <v>4.58361111111111</v>
      </c>
      <c r="I12">
        <v>44</v>
      </c>
      <c r="J12">
        <v>0</v>
      </c>
      <c r="L12" s="5">
        <f t="shared" si="0"/>
        <v>0.8620761715688825</v>
      </c>
      <c r="M12" s="5">
        <f t="shared" si="1"/>
        <v>0.9761646147319627</v>
      </c>
      <c r="N12" s="5">
        <f t="shared" si="2"/>
        <v>1</v>
      </c>
      <c r="O12" s="5">
        <f t="shared" si="3"/>
        <v>0.84152825388914354</v>
      </c>
      <c r="P12" s="6">
        <f t="shared" si="4"/>
        <v>65.639203803353993</v>
      </c>
      <c r="R12" t="s">
        <v>25</v>
      </c>
      <c r="S12" s="4">
        <f>(SUM(E16:E17)-SUM(J16:K17))/SUM(E16:E17)</f>
        <v>0.9463414634146341</v>
      </c>
      <c r="T12" s="4">
        <f>(AVERAGE(D16:D17)*SUM(E16:E17))/(SUM(H16:H17)*60)</f>
        <v>0.9325649756117087</v>
      </c>
      <c r="U12" s="4">
        <f>SUM(H16:H17)/SUM(G16:G17)</f>
        <v>0.80421021342369614</v>
      </c>
      <c r="V12" s="4">
        <f t="shared" si="5"/>
        <v>0.70973554119620641</v>
      </c>
      <c r="W12" s="4">
        <f t="shared" si="6"/>
        <v>0.19578978657630386</v>
      </c>
      <c r="X12" s="7">
        <f>(SUM(E16:E17)/SUM(G16:G17))</f>
        <v>58.498305689316879</v>
      </c>
    </row>
    <row r="13" spans="1:24" x14ac:dyDescent="0.25">
      <c r="A13" t="s">
        <v>61</v>
      </c>
      <c r="B13" s="18" t="s">
        <v>69</v>
      </c>
      <c r="C13">
        <v>78</v>
      </c>
      <c r="D13">
        <v>0.76923076923075995</v>
      </c>
      <c r="E13">
        <v>128</v>
      </c>
      <c r="F13">
        <v>2.49972222222222</v>
      </c>
      <c r="G13">
        <v>2.2163888888888899</v>
      </c>
      <c r="H13">
        <v>1.5550555555555601</v>
      </c>
      <c r="I13">
        <v>39.68</v>
      </c>
      <c r="J13">
        <v>0</v>
      </c>
      <c r="L13" s="5">
        <f t="shared" si="0"/>
        <v>0.70161674395287799</v>
      </c>
      <c r="M13" s="5">
        <f t="shared" si="1"/>
        <v>1.0552842534550784</v>
      </c>
      <c r="N13" s="5">
        <f t="shared" si="2"/>
        <v>1</v>
      </c>
      <c r="O13" s="5">
        <f t="shared" si="3"/>
        <v>0.74040510185389574</v>
      </c>
      <c r="P13" s="6">
        <f t="shared" si="4"/>
        <v>57.751597944604562</v>
      </c>
      <c r="R13" t="s">
        <v>46</v>
      </c>
      <c r="S13" s="4">
        <f>(SUM(E18:E19)-SUM(J18:K19))/SUM(E18:E19)</f>
        <v>0.99631190727081143</v>
      </c>
      <c r="T13" s="4">
        <f>(AVERAGE(D18:D19)*SUM(E18:E19))/(SUM(H18:H19)*60)</f>
        <v>1.0006809164402266</v>
      </c>
      <c r="U13" s="4">
        <f>SUM(H18:H19)/SUM(G18:G19)</f>
        <v>0.94310586585650924</v>
      </c>
      <c r="V13" s="4">
        <f t="shared" si="5"/>
        <v>0.94026741185302254</v>
      </c>
      <c r="W13" s="4">
        <f t="shared" si="6"/>
        <v>5.689413414349076E-2</v>
      </c>
      <c r="X13" s="7">
        <f>(SUM(E18:E19)/SUM(G18:G19))</f>
        <v>133.06847394250997</v>
      </c>
    </row>
    <row r="14" spans="1:24" x14ac:dyDescent="0.25">
      <c r="A14" t="s">
        <v>63</v>
      </c>
      <c r="B14" s="18" t="s">
        <v>64</v>
      </c>
      <c r="C14">
        <v>156</v>
      </c>
      <c r="D14">
        <v>0.38461538461537997</v>
      </c>
      <c r="E14">
        <v>1747</v>
      </c>
      <c r="F14">
        <v>15.5</v>
      </c>
      <c r="G14">
        <v>13.43333333333333</v>
      </c>
      <c r="H14">
        <v>11.218</v>
      </c>
      <c r="I14">
        <v>132.92000000000002</v>
      </c>
      <c r="J14">
        <v>0</v>
      </c>
      <c r="L14" s="5">
        <f t="shared" si="0"/>
        <v>0.83508684863523597</v>
      </c>
      <c r="M14" s="5">
        <f t="shared" si="1"/>
        <v>0.99828115071472756</v>
      </c>
      <c r="N14" s="5">
        <f t="shared" si="2"/>
        <v>1</v>
      </c>
      <c r="O14" s="5">
        <f t="shared" si="3"/>
        <v>0.83365146020231884</v>
      </c>
      <c r="P14" s="6">
        <f t="shared" si="4"/>
        <v>130.0496277915633</v>
      </c>
      <c r="R14" t="s">
        <v>22</v>
      </c>
      <c r="S14" s="4">
        <f>(SUM(E20:E21)-SUM(J20:K21))/SUM(E20:E21)</f>
        <v>0.95666666666666667</v>
      </c>
      <c r="T14" s="4">
        <f>(AVERAGE(D20:D21)*SUM(E20:E21))/(SUM(H20:H21)*60)</f>
        <v>0.71776688367151253</v>
      </c>
      <c r="U14" s="4">
        <f>SUM(H20:H21)/SUM(G20:G21)</f>
        <v>0.75295081967213073</v>
      </c>
      <c r="V14" s="4">
        <f t="shared" si="5"/>
        <v>0.51702395964690395</v>
      </c>
      <c r="W14" s="4">
        <f t="shared" si="6"/>
        <v>0.24704918032786927</v>
      </c>
      <c r="X14" s="7">
        <f>(SUM(E20:E21)/SUM(G20:G21))</f>
        <v>42.154566744730658</v>
      </c>
    </row>
    <row r="15" spans="1:24" x14ac:dyDescent="0.25">
      <c r="A15" t="s">
        <v>44</v>
      </c>
      <c r="B15" s="18" t="s">
        <v>45</v>
      </c>
      <c r="C15">
        <v>156</v>
      </c>
      <c r="D15">
        <v>0.38461538461537997</v>
      </c>
      <c r="E15">
        <v>854</v>
      </c>
      <c r="F15">
        <v>8</v>
      </c>
      <c r="G15">
        <v>7.2933333333333303</v>
      </c>
      <c r="H15">
        <v>5.4744999999999999</v>
      </c>
      <c r="I15">
        <v>109.13</v>
      </c>
      <c r="J15">
        <v>9</v>
      </c>
      <c r="L15" s="5">
        <f t="shared" si="0"/>
        <v>0.75061700182815383</v>
      </c>
      <c r="M15" s="5">
        <f t="shared" si="1"/>
        <v>0.99997423953948461</v>
      </c>
      <c r="N15" s="5">
        <f t="shared" si="2"/>
        <v>0.98946135831381732</v>
      </c>
      <c r="O15" s="5">
        <f t="shared" si="3"/>
        <v>0.7426873857403935</v>
      </c>
      <c r="P15" s="6">
        <f t="shared" si="4"/>
        <v>117.09323583180992</v>
      </c>
      <c r="R15" t="s">
        <v>48</v>
      </c>
      <c r="S15" s="4">
        <f>(SUM(E22:E22)-SUM(J22:K22))/SUM(E22:E22)</f>
        <v>0.97733160621761661</v>
      </c>
      <c r="T15" s="4">
        <f>(AVERAGE(D22:D22)*SUM(E22:E22))/(SUM(H22:H22)*60)</f>
        <v>0.98753808801367993</v>
      </c>
      <c r="U15" s="4">
        <f>SUM(H22:H22)/SUM(G22:G22)</f>
        <v>0.70312426921098214</v>
      </c>
      <c r="V15" s="4">
        <f t="shared" si="5"/>
        <v>0.67862192528951915</v>
      </c>
      <c r="W15" s="4">
        <f t="shared" si="6"/>
        <v>0.29687573078901786</v>
      </c>
      <c r="X15" s="7">
        <f>(SUM(E22:E22)/SUM(G22:G22))</f>
        <v>108.32047144661148</v>
      </c>
    </row>
    <row r="16" spans="1:24" x14ac:dyDescent="0.25">
      <c r="A16" t="s">
        <v>25</v>
      </c>
      <c r="B16" s="18" t="s">
        <v>65</v>
      </c>
      <c r="C16">
        <v>78</v>
      </c>
      <c r="D16">
        <v>0.76923076923075995</v>
      </c>
      <c r="E16">
        <v>130</v>
      </c>
      <c r="F16">
        <v>1.7949999999999999</v>
      </c>
      <c r="G16">
        <v>1.6666666666666701</v>
      </c>
      <c r="H16">
        <v>1.6666666666666701</v>
      </c>
      <c r="I16">
        <v>0</v>
      </c>
      <c r="J16">
        <v>12</v>
      </c>
      <c r="L16" s="5">
        <f t="shared" si="0"/>
        <v>1</v>
      </c>
      <c r="M16" s="5">
        <f t="shared" si="1"/>
        <v>0.9999999999999859</v>
      </c>
      <c r="N16" s="5">
        <f t="shared" si="2"/>
        <v>0.90769230769230769</v>
      </c>
      <c r="O16" s="5">
        <f t="shared" si="3"/>
        <v>0.90769230769229492</v>
      </c>
      <c r="P16" s="6">
        <f t="shared" si="4"/>
        <v>77.999999999999844</v>
      </c>
      <c r="R16" t="s">
        <v>50</v>
      </c>
      <c r="S16" s="4">
        <f>(SUM(E23:E24)-SUM(J23:K24))/SUM(E23:E24)</f>
        <v>0.98275862068965514</v>
      </c>
      <c r="T16" s="4">
        <f>(AVERAGE(D23:D24)*SUM(E23:E24))/(SUM(H23:H24)*60)</f>
        <v>0.82541332541332335</v>
      </c>
      <c r="U16" s="4">
        <f>SUM(H23:H24)/SUM(G23:G24)</f>
        <v>0.55975794251134625</v>
      </c>
      <c r="V16" s="4">
        <f t="shared" si="5"/>
        <v>0.45406560156938242</v>
      </c>
      <c r="W16" s="4">
        <f t="shared" si="6"/>
        <v>0.44024205748865375</v>
      </c>
      <c r="X16" s="7">
        <f>(SUM(E23:E24)/SUM(G23:G24))</f>
        <v>26.323751891074135</v>
      </c>
    </row>
    <row r="17" spans="1:16" x14ac:dyDescent="0.25">
      <c r="A17" t="s">
        <v>25</v>
      </c>
      <c r="B17" s="18" t="s">
        <v>66</v>
      </c>
      <c r="C17">
        <v>78</v>
      </c>
      <c r="D17">
        <v>0.76923076923075995</v>
      </c>
      <c r="E17">
        <v>690</v>
      </c>
      <c r="F17">
        <v>13.705</v>
      </c>
      <c r="G17">
        <v>12.350833333333341</v>
      </c>
      <c r="H17">
        <v>9.6063499999999991</v>
      </c>
      <c r="I17">
        <v>164.66899999999998</v>
      </c>
      <c r="J17">
        <v>32</v>
      </c>
      <c r="L17" s="5">
        <f t="shared" si="0"/>
        <v>0.77778962283246689</v>
      </c>
      <c r="M17" s="5">
        <f t="shared" si="1"/>
        <v>0.9208652449841761</v>
      </c>
      <c r="N17" s="5">
        <f t="shared" si="2"/>
        <v>0.95362318840579707</v>
      </c>
      <c r="O17" s="5">
        <f t="shared" si="3"/>
        <v>0.68302253040124106</v>
      </c>
      <c r="P17" s="6">
        <f t="shared" si="4"/>
        <v>55.866675662910701</v>
      </c>
    </row>
    <row r="18" spans="1:16" x14ac:dyDescent="0.25">
      <c r="A18" t="s">
        <v>46</v>
      </c>
      <c r="B18" s="18" t="s">
        <v>67</v>
      </c>
      <c r="C18">
        <v>141</v>
      </c>
      <c r="D18">
        <v>0.42553191489360997</v>
      </c>
      <c r="E18">
        <v>1616</v>
      </c>
      <c r="F18">
        <v>13.391944444444441</v>
      </c>
      <c r="G18">
        <v>12.19661111111111</v>
      </c>
      <c r="H18">
        <v>11.45177777777778</v>
      </c>
      <c r="I18">
        <v>44.69</v>
      </c>
      <c r="J18">
        <v>7</v>
      </c>
      <c r="L18" s="5">
        <f t="shared" si="0"/>
        <v>0.93893112385498723</v>
      </c>
      <c r="M18" s="5">
        <f t="shared" si="1"/>
        <v>1.0008046899094856</v>
      </c>
      <c r="N18" s="5">
        <f t="shared" si="2"/>
        <v>0.99566831683168322</v>
      </c>
      <c r="O18" s="5">
        <f t="shared" si="3"/>
        <v>0.93561624731435211</v>
      </c>
      <c r="P18" s="6">
        <f t="shared" si="4"/>
        <v>132.49582078810599</v>
      </c>
    </row>
    <row r="19" spans="1:16" x14ac:dyDescent="0.25">
      <c r="A19" t="s">
        <v>46</v>
      </c>
      <c r="B19" s="18" t="s">
        <v>47</v>
      </c>
      <c r="C19">
        <v>141</v>
      </c>
      <c r="D19">
        <v>0.42553191489360997</v>
      </c>
      <c r="E19">
        <v>282</v>
      </c>
      <c r="F19">
        <v>2.10805555555556</v>
      </c>
      <c r="G19">
        <v>2.0667222222222201</v>
      </c>
      <c r="H19">
        <v>2.0000555555555599</v>
      </c>
      <c r="I19">
        <v>4</v>
      </c>
      <c r="J19">
        <v>0</v>
      </c>
      <c r="L19" s="21">
        <f t="shared" si="0"/>
        <v>0.96774280261283607</v>
      </c>
      <c r="M19" s="5">
        <f t="shared" si="1"/>
        <v>0.99997222299378696</v>
      </c>
      <c r="N19" s="5">
        <f t="shared" si="2"/>
        <v>1</v>
      </c>
      <c r="O19" s="5">
        <f t="shared" si="3"/>
        <v>0.96771592161499531</v>
      </c>
      <c r="P19" s="6">
        <f t="shared" si="4"/>
        <v>136.44794494771659</v>
      </c>
    </row>
    <row r="20" spans="1:16" x14ac:dyDescent="0.25">
      <c r="A20" t="s">
        <v>22</v>
      </c>
      <c r="B20" s="18" t="s">
        <v>23</v>
      </c>
      <c r="C20">
        <v>78</v>
      </c>
      <c r="D20">
        <v>0.76923076923075995</v>
      </c>
      <c r="E20">
        <v>233</v>
      </c>
      <c r="F20">
        <v>5.2286111111111104</v>
      </c>
      <c r="G20">
        <v>4.5952777777777802</v>
      </c>
      <c r="H20">
        <v>2.9872777777777801</v>
      </c>
      <c r="I20">
        <v>96.48</v>
      </c>
      <c r="J20">
        <v>13</v>
      </c>
      <c r="L20" s="5">
        <f t="shared" si="0"/>
        <v>0.65007556066009808</v>
      </c>
      <c r="M20" s="5">
        <f t="shared" si="1"/>
        <v>0.99996709693385044</v>
      </c>
      <c r="N20" s="5">
        <f t="shared" si="2"/>
        <v>0.94420600858369097</v>
      </c>
      <c r="O20" s="5">
        <f t="shared" si="3"/>
        <v>0.61378505433391917</v>
      </c>
      <c r="P20" s="6">
        <f t="shared" si="4"/>
        <v>50.704225352112651</v>
      </c>
    </row>
    <row r="21" spans="1:16" x14ac:dyDescent="0.25">
      <c r="A21" t="s">
        <v>22</v>
      </c>
      <c r="B21" s="18" t="s">
        <v>73</v>
      </c>
      <c r="C21">
        <v>78</v>
      </c>
      <c r="D21">
        <v>0.76923076923075995</v>
      </c>
      <c r="E21">
        <v>367</v>
      </c>
      <c r="F21">
        <v>10.27138888888889</v>
      </c>
      <c r="G21">
        <v>9.6380555555555603</v>
      </c>
      <c r="H21">
        <v>7.7297222222222199</v>
      </c>
      <c r="I21">
        <v>114.5</v>
      </c>
      <c r="J21">
        <v>13</v>
      </c>
      <c r="L21" s="5">
        <f t="shared" si="0"/>
        <v>0.80200017292561254</v>
      </c>
      <c r="M21" s="5">
        <f t="shared" si="1"/>
        <v>0.60870598837321088</v>
      </c>
      <c r="N21" s="5">
        <f t="shared" si="2"/>
        <v>0.96457765667574935</v>
      </c>
      <c r="O21" s="5">
        <f t="shared" si="3"/>
        <v>0.4708897466196309</v>
      </c>
      <c r="P21" s="6">
        <f t="shared" si="4"/>
        <v>38.078220019021799</v>
      </c>
    </row>
    <row r="22" spans="1:16" x14ac:dyDescent="0.25">
      <c r="A22" t="s">
        <v>48</v>
      </c>
      <c r="B22" s="18" t="s">
        <v>49</v>
      </c>
      <c r="C22">
        <v>156</v>
      </c>
      <c r="D22">
        <v>0.38461538461537997</v>
      </c>
      <c r="E22">
        <v>1544</v>
      </c>
      <c r="F22">
        <v>15.5</v>
      </c>
      <c r="G22">
        <v>14.254</v>
      </c>
      <c r="H22">
        <v>10.022333333333339</v>
      </c>
      <c r="I22">
        <v>253.9</v>
      </c>
      <c r="J22">
        <v>35</v>
      </c>
      <c r="L22" s="5">
        <f t="shared" si="0"/>
        <v>0.70312426921098214</v>
      </c>
      <c r="M22" s="5">
        <f t="shared" si="1"/>
        <v>0.98753808801367993</v>
      </c>
      <c r="N22" s="5">
        <f t="shared" si="2"/>
        <v>0.97733160621761661</v>
      </c>
      <c r="O22" s="5">
        <f t="shared" si="3"/>
        <v>0.67862192528951926</v>
      </c>
      <c r="P22" s="6">
        <f t="shared" si="4"/>
        <v>108.32047144661148</v>
      </c>
    </row>
    <row r="23" spans="1:16" x14ac:dyDescent="0.25">
      <c r="A23" t="s">
        <v>50</v>
      </c>
      <c r="B23" s="18" t="s">
        <v>70</v>
      </c>
      <c r="C23">
        <v>52</v>
      </c>
      <c r="D23">
        <v>1.15384615384615</v>
      </c>
      <c r="E23">
        <v>288</v>
      </c>
      <c r="F23">
        <v>13.86</v>
      </c>
      <c r="G23">
        <v>10.84333333333333</v>
      </c>
      <c r="H23">
        <v>5.9933333333333305</v>
      </c>
      <c r="I23">
        <v>291</v>
      </c>
      <c r="J23">
        <v>5</v>
      </c>
      <c r="L23" s="5">
        <f t="shared" si="0"/>
        <v>0.55272056563172445</v>
      </c>
      <c r="M23" s="5">
        <f t="shared" si="1"/>
        <v>0.92410370497133287</v>
      </c>
      <c r="N23" s="5">
        <f t="shared" si="2"/>
        <v>0.98263888888888884</v>
      </c>
      <c r="O23" s="5">
        <f t="shared" si="3"/>
        <v>0.50190356830381255</v>
      </c>
      <c r="P23" s="6">
        <f t="shared" si="4"/>
        <v>26.560098370734714</v>
      </c>
    </row>
    <row r="24" spans="1:16" x14ac:dyDescent="0.25">
      <c r="A24" t="s">
        <v>50</v>
      </c>
      <c r="B24" s="18" t="s">
        <v>51</v>
      </c>
      <c r="C24">
        <v>63</v>
      </c>
      <c r="D24">
        <v>0.95238095238095</v>
      </c>
      <c r="E24">
        <v>2</v>
      </c>
      <c r="F24">
        <v>1.64</v>
      </c>
      <c r="G24">
        <v>0.17333333333333301</v>
      </c>
      <c r="H24">
        <v>0.17333333333333301</v>
      </c>
      <c r="I24">
        <v>0</v>
      </c>
      <c r="J24">
        <v>0</v>
      </c>
      <c r="L24" s="5">
        <f t="shared" si="0"/>
        <v>1</v>
      </c>
      <c r="M24" s="5">
        <f t="shared" si="1"/>
        <v>0.18315018315018303</v>
      </c>
      <c r="N24" s="5">
        <f t="shared" si="2"/>
        <v>1</v>
      </c>
      <c r="O24" s="5">
        <f t="shared" si="3"/>
        <v>0.18315018315018303</v>
      </c>
      <c r="P24" s="6">
        <f t="shared" si="4"/>
        <v>11.53846153846156</v>
      </c>
    </row>
    <row r="25" spans="1:16" x14ac:dyDescent="0.25">
      <c r="B25" s="18" t="s">
        <v>8</v>
      </c>
      <c r="C25">
        <f>AVERAGE(C5:C24)</f>
        <v>108.95</v>
      </c>
      <c r="D25">
        <f>AVERAGE(D5:D24)</f>
        <v>0.63023634167250486</v>
      </c>
      <c r="E25">
        <f t="shared" ref="E25:J25" si="7">SUM(E5:E24)</f>
        <v>13741</v>
      </c>
      <c r="F25">
        <f t="shared" si="7"/>
        <v>178.5</v>
      </c>
      <c r="G25">
        <f t="shared" si="7"/>
        <v>153.81983333333338</v>
      </c>
      <c r="H25">
        <f t="shared" si="7"/>
        <v>117.35751666666667</v>
      </c>
      <c r="I25">
        <f t="shared" si="7"/>
        <v>2187.739</v>
      </c>
      <c r="J25">
        <f t="shared" si="7"/>
        <v>126</v>
      </c>
      <c r="L25" s="5">
        <f>SUMPRODUCT(G5:G24,L5:L24)/SUM(G5:G24)</f>
        <v>0.76295438711306174</v>
      </c>
      <c r="M25" s="5">
        <f>SUMPRODUCT(H5:H24,M5:M24)/SUM(H5:H24)</f>
        <v>0.96161073182122192</v>
      </c>
      <c r="N25" s="5">
        <f>SUMPRODUCT(E5:E24,N5:N24)/SUM(E5:E24)</f>
        <v>0.9908303616912888</v>
      </c>
      <c r="O25" s="5">
        <f t="shared" si="3"/>
        <v>0.72693768268793491</v>
      </c>
      <c r="P25" s="6">
        <f t="shared" si="4"/>
        <v>89.331783179238883</v>
      </c>
    </row>
  </sheetData>
  <pageMargins left="0.7" right="0.7" top="0.75" bottom="0.75" header="0.3" footer="0.3"/>
  <pageSetup orientation="portrait" horizontalDpi="4294967292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2</xdr:col>
                    <xdr:colOff>19050</xdr:colOff>
                    <xdr:row>0</xdr:row>
                    <xdr:rowOff>152400</xdr:rowOff>
                  </from>
                  <to>
                    <xdr:col>3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4:E38"/>
  <sheetViews>
    <sheetView workbookViewId="0">
      <selection activeCell="H36" sqref="H36"/>
    </sheetView>
  </sheetViews>
  <sheetFormatPr baseColWidth="10" defaultColWidth="9.140625" defaultRowHeight="15" x14ac:dyDescent="0.25"/>
  <cols>
    <col min="2" max="2" width="25.140625" bestFit="1" customWidth="1"/>
    <col min="3" max="3" width="8.42578125" customWidth="1"/>
    <col min="4" max="4" width="5" bestFit="1" customWidth="1"/>
    <col min="5" max="5" width="11.28515625" bestFit="1" customWidth="1"/>
    <col min="6" max="6" width="11.28515625" customWidth="1"/>
    <col min="7" max="7" width="11.28515625" bestFit="1" customWidth="1"/>
  </cols>
  <sheetData>
    <row r="4" spans="2:5" x14ac:dyDescent="0.25">
      <c r="B4" s="16" t="s">
        <v>42</v>
      </c>
      <c r="C4" s="16" t="s">
        <v>43</v>
      </c>
    </row>
    <row r="5" spans="2:5" x14ac:dyDescent="0.25">
      <c r="B5" s="16" t="s">
        <v>40</v>
      </c>
      <c r="C5" t="s">
        <v>24</v>
      </c>
      <c r="D5" t="s">
        <v>21</v>
      </c>
      <c r="E5" t="s">
        <v>41</v>
      </c>
    </row>
    <row r="6" spans="2:5" x14ac:dyDescent="0.25">
      <c r="B6" s="17" t="s">
        <v>25</v>
      </c>
      <c r="C6" s="3">
        <v>462</v>
      </c>
      <c r="D6" s="3">
        <v>358</v>
      </c>
      <c r="E6" s="3">
        <v>820</v>
      </c>
    </row>
    <row r="7" spans="2:5" x14ac:dyDescent="0.25">
      <c r="B7" s="2" t="s">
        <v>66</v>
      </c>
      <c r="C7" s="3">
        <v>332</v>
      </c>
      <c r="D7" s="3">
        <v>358</v>
      </c>
      <c r="E7" s="3">
        <v>690</v>
      </c>
    </row>
    <row r="8" spans="2:5" x14ac:dyDescent="0.25">
      <c r="B8" s="2" t="s">
        <v>65</v>
      </c>
      <c r="C8" s="3">
        <v>130</v>
      </c>
      <c r="D8" s="3"/>
      <c r="E8" s="3">
        <v>130</v>
      </c>
    </row>
    <row r="9" spans="2:5" x14ac:dyDescent="0.25">
      <c r="B9" s="17" t="s">
        <v>22</v>
      </c>
      <c r="C9" s="3">
        <v>170</v>
      </c>
      <c r="D9" s="3">
        <v>430</v>
      </c>
      <c r="E9" s="3">
        <v>600</v>
      </c>
    </row>
    <row r="10" spans="2:5" x14ac:dyDescent="0.25">
      <c r="B10" s="2" t="s">
        <v>23</v>
      </c>
      <c r="C10" s="3">
        <v>233</v>
      </c>
      <c r="D10" s="3"/>
      <c r="E10" s="3">
        <v>233</v>
      </c>
    </row>
    <row r="11" spans="2:5" x14ac:dyDescent="0.25">
      <c r="B11" s="2" t="s">
        <v>73</v>
      </c>
      <c r="C11" s="3">
        <v>-63</v>
      </c>
      <c r="D11" s="3">
        <v>430</v>
      </c>
      <c r="E11" s="3">
        <v>367</v>
      </c>
    </row>
    <row r="12" spans="2:5" x14ac:dyDescent="0.25">
      <c r="B12" s="17" t="s">
        <v>56</v>
      </c>
      <c r="C12" s="3">
        <v>516</v>
      </c>
      <c r="D12" s="3">
        <v>367</v>
      </c>
      <c r="E12" s="3">
        <v>883</v>
      </c>
    </row>
    <row r="13" spans="2:5" x14ac:dyDescent="0.25">
      <c r="B13" s="2" t="s">
        <v>58</v>
      </c>
      <c r="C13" s="3">
        <v>516</v>
      </c>
      <c r="D13" s="3">
        <v>228</v>
      </c>
      <c r="E13" s="3">
        <v>744</v>
      </c>
    </row>
    <row r="14" spans="2:5" x14ac:dyDescent="0.25">
      <c r="B14" s="2" t="s">
        <v>57</v>
      </c>
      <c r="C14" s="3"/>
      <c r="D14" s="3">
        <v>139</v>
      </c>
      <c r="E14" s="3">
        <v>139</v>
      </c>
    </row>
    <row r="15" spans="2:5" x14ac:dyDescent="0.25">
      <c r="B15" s="17" t="s">
        <v>61</v>
      </c>
      <c r="C15" s="3">
        <v>357</v>
      </c>
      <c r="D15" s="3">
        <v>359</v>
      </c>
      <c r="E15" s="3">
        <v>716</v>
      </c>
    </row>
    <row r="16" spans="2:5" x14ac:dyDescent="0.25">
      <c r="B16" s="2" t="s">
        <v>62</v>
      </c>
      <c r="C16" s="3">
        <v>229</v>
      </c>
      <c r="D16" s="3">
        <v>10</v>
      </c>
      <c r="E16" s="3">
        <v>239</v>
      </c>
    </row>
    <row r="17" spans="2:5" x14ac:dyDescent="0.25">
      <c r="B17" s="2" t="s">
        <v>69</v>
      </c>
      <c r="C17" s="3">
        <v>128</v>
      </c>
      <c r="D17" s="3"/>
      <c r="E17" s="3">
        <v>128</v>
      </c>
    </row>
    <row r="18" spans="2:5" x14ac:dyDescent="0.25">
      <c r="B18" s="2" t="s">
        <v>72</v>
      </c>
      <c r="C18" s="3"/>
      <c r="D18" s="3">
        <v>349</v>
      </c>
      <c r="E18" s="3">
        <v>349</v>
      </c>
    </row>
    <row r="19" spans="2:5" x14ac:dyDescent="0.25">
      <c r="B19" s="17" t="s">
        <v>46</v>
      </c>
      <c r="C19" s="3">
        <v>925</v>
      </c>
      <c r="D19" s="3">
        <v>973</v>
      </c>
      <c r="E19" s="3">
        <v>1898</v>
      </c>
    </row>
    <row r="20" spans="2:5" x14ac:dyDescent="0.25">
      <c r="B20" s="2" t="s">
        <v>47</v>
      </c>
      <c r="C20" s="3">
        <v>282</v>
      </c>
      <c r="D20" s="3"/>
      <c r="E20" s="3">
        <v>282</v>
      </c>
    </row>
    <row r="21" spans="2:5" x14ac:dyDescent="0.25">
      <c r="B21" s="2" t="s">
        <v>67</v>
      </c>
      <c r="C21" s="3">
        <v>643</v>
      </c>
      <c r="D21" s="3">
        <v>973</v>
      </c>
      <c r="E21" s="3">
        <v>1616</v>
      </c>
    </row>
    <row r="22" spans="2:5" x14ac:dyDescent="0.25">
      <c r="B22" s="17" t="s">
        <v>48</v>
      </c>
      <c r="C22" s="3">
        <v>713</v>
      </c>
      <c r="D22" s="3">
        <v>831</v>
      </c>
      <c r="E22" s="3">
        <v>1544</v>
      </c>
    </row>
    <row r="23" spans="2:5" x14ac:dyDescent="0.25">
      <c r="B23" s="2" t="s">
        <v>49</v>
      </c>
      <c r="C23" s="3">
        <v>713</v>
      </c>
      <c r="D23" s="3">
        <v>831</v>
      </c>
      <c r="E23" s="3">
        <v>1544</v>
      </c>
    </row>
    <row r="24" spans="2:5" x14ac:dyDescent="0.25">
      <c r="B24" s="17" t="s">
        <v>44</v>
      </c>
      <c r="C24" s="3">
        <v>854</v>
      </c>
      <c r="D24" s="3"/>
      <c r="E24" s="3">
        <v>854</v>
      </c>
    </row>
    <row r="25" spans="2:5" x14ac:dyDescent="0.25">
      <c r="B25" s="2" t="s">
        <v>45</v>
      </c>
      <c r="C25" s="3">
        <v>854</v>
      </c>
      <c r="D25" s="3"/>
      <c r="E25" s="3">
        <v>854</v>
      </c>
    </row>
    <row r="26" spans="2:5" x14ac:dyDescent="0.25">
      <c r="B26" s="17" t="s">
        <v>59</v>
      </c>
      <c r="C26" s="3">
        <v>1066</v>
      </c>
      <c r="D26" s="3">
        <v>848</v>
      </c>
      <c r="E26" s="3">
        <v>1914</v>
      </c>
    </row>
    <row r="27" spans="2:5" x14ac:dyDescent="0.25">
      <c r="B27" s="2" t="s">
        <v>68</v>
      </c>
      <c r="C27" s="3">
        <v>1066</v>
      </c>
      <c r="D27" s="3">
        <v>687</v>
      </c>
      <c r="E27" s="3">
        <v>1753</v>
      </c>
    </row>
    <row r="28" spans="2:5" x14ac:dyDescent="0.25">
      <c r="B28" s="2" t="s">
        <v>60</v>
      </c>
      <c r="C28" s="3"/>
      <c r="D28" s="3">
        <v>161</v>
      </c>
      <c r="E28" s="3">
        <v>161</v>
      </c>
    </row>
    <row r="29" spans="2:5" x14ac:dyDescent="0.25">
      <c r="B29" s="17" t="s">
        <v>63</v>
      </c>
      <c r="C29" s="3">
        <v>944</v>
      </c>
      <c r="D29" s="3">
        <v>803</v>
      </c>
      <c r="E29" s="3">
        <v>1747</v>
      </c>
    </row>
    <row r="30" spans="2:5" x14ac:dyDescent="0.25">
      <c r="B30" s="2" t="s">
        <v>64</v>
      </c>
      <c r="C30" s="3">
        <v>944</v>
      </c>
      <c r="D30" s="3">
        <v>803</v>
      </c>
      <c r="E30" s="3">
        <v>1747</v>
      </c>
    </row>
    <row r="31" spans="2:5" x14ac:dyDescent="0.25">
      <c r="B31" s="17" t="s">
        <v>52</v>
      </c>
      <c r="C31" s="3">
        <v>904</v>
      </c>
      <c r="D31" s="3">
        <v>802</v>
      </c>
      <c r="E31" s="3">
        <v>1706</v>
      </c>
    </row>
    <row r="32" spans="2:5" x14ac:dyDescent="0.25">
      <c r="B32" s="2" t="s">
        <v>53</v>
      </c>
      <c r="C32" s="3">
        <v>904</v>
      </c>
      <c r="D32" s="3">
        <v>802</v>
      </c>
      <c r="E32" s="3">
        <v>1706</v>
      </c>
    </row>
    <row r="33" spans="2:5" x14ac:dyDescent="0.25">
      <c r="B33" s="17" t="s">
        <v>50</v>
      </c>
      <c r="C33" s="3">
        <v>138</v>
      </c>
      <c r="D33" s="3">
        <v>152</v>
      </c>
      <c r="E33" s="3">
        <v>290</v>
      </c>
    </row>
    <row r="34" spans="2:5" x14ac:dyDescent="0.25">
      <c r="B34" s="2" t="s">
        <v>51</v>
      </c>
      <c r="C34" s="3"/>
      <c r="D34" s="3">
        <v>2</v>
      </c>
      <c r="E34" s="3">
        <v>2</v>
      </c>
    </row>
    <row r="35" spans="2:5" x14ac:dyDescent="0.25">
      <c r="B35" s="2" t="s">
        <v>70</v>
      </c>
      <c r="C35" s="3">
        <v>138</v>
      </c>
      <c r="D35" s="3">
        <v>150</v>
      </c>
      <c r="E35" s="3">
        <v>288</v>
      </c>
    </row>
    <row r="36" spans="2:5" x14ac:dyDescent="0.25">
      <c r="B36" s="17" t="s">
        <v>54</v>
      </c>
      <c r="C36" s="3">
        <v>421</v>
      </c>
      <c r="D36" s="3">
        <v>348</v>
      </c>
      <c r="E36" s="3">
        <v>769</v>
      </c>
    </row>
    <row r="37" spans="2:5" x14ac:dyDescent="0.25">
      <c r="B37" s="2" t="s">
        <v>55</v>
      </c>
      <c r="C37" s="3">
        <v>421</v>
      </c>
      <c r="D37" s="3">
        <v>348</v>
      </c>
      <c r="E37" s="3">
        <v>769</v>
      </c>
    </row>
    <row r="38" spans="2:5" x14ac:dyDescent="0.25">
      <c r="B38" s="17" t="s">
        <v>41</v>
      </c>
      <c r="C38" s="3">
        <v>7470</v>
      </c>
      <c r="D38" s="3">
        <v>6271</v>
      </c>
      <c r="E38" s="3">
        <v>13741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Indicador Diario</vt:lpstr>
      <vt:lpstr>Produccion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Homero Durazo</dc:creator>
  <cp:lastModifiedBy>Lilian Covarrubias</cp:lastModifiedBy>
  <dcterms:created xsi:type="dcterms:W3CDTF">2018-09-03T18:26:41Z</dcterms:created>
  <dcterms:modified xsi:type="dcterms:W3CDTF">2018-11-13T18:40:57Z</dcterms:modified>
</cp:coreProperties>
</file>